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sv1p000001\藤沢工場\工場向け\P24000(生産管理グループ)\藤沢工場共有フォルダ\企画Ｔｷｬﾋﾞﾈｯﾄ\(23)伊藤フォルダ\マニュアル\"/>
    </mc:Choice>
  </mc:AlternateContent>
  <xr:revisionPtr revIDLastSave="0" documentId="13_ncr:1_{8D040CE3-59CA-4553-87BE-DEF5612D66EF}" xr6:coauthVersionLast="47" xr6:coauthVersionMax="47" xr10:uidLastSave="{00000000-0000-0000-0000-000000000000}"/>
  <bookViews>
    <workbookView xWindow="28680" yWindow="-120" windowWidth="29040" windowHeight="15720" xr2:uid="{00000000-000D-0000-FFFF-FFFF00000000}"/>
  </bookViews>
  <sheets>
    <sheet name="仕事一覧" sheetId="3" r:id="rId1"/>
    <sheet name="資料１" sheetId="2" r:id="rId2"/>
    <sheet name="資料２" sheetId="1" r:id="rId3"/>
  </sheets>
  <definedNames>
    <definedName name="_xlnm._FilterDatabase" localSheetId="0" hidden="1">仕事一覧!$A$1:$L$35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2" i="3"/>
  <c r="L37" i="3" l="1"/>
</calcChain>
</file>

<file path=xl/sharedStrings.xml><?xml version="1.0" encoding="utf-8"?>
<sst xmlns="http://schemas.openxmlformats.org/spreadsheetml/2006/main" count="318" uniqueCount="183">
  <si>
    <t>業務内容</t>
    <rPh sb="0" eb="2">
      <t>ギョウム</t>
    </rPh>
    <rPh sb="2" eb="4">
      <t>ナイヨウ</t>
    </rPh>
    <phoneticPr fontId="1"/>
  </si>
  <si>
    <t>大項目</t>
    <rPh sb="0" eb="3">
      <t>ダイコウモク</t>
    </rPh>
    <phoneticPr fontId="1"/>
  </si>
  <si>
    <t>比較表作成</t>
    <rPh sb="0" eb="3">
      <t>ヒカクヒョウ</t>
    </rPh>
    <rPh sb="3" eb="5">
      <t>サクセイ</t>
    </rPh>
    <phoneticPr fontId="1"/>
  </si>
  <si>
    <t>BricsCAD 図面抽出</t>
    <rPh sb="9" eb="11">
      <t>ズメン</t>
    </rPh>
    <rPh sb="11" eb="13">
      <t>チュウシュツ</t>
    </rPh>
    <phoneticPr fontId="1"/>
  </si>
  <si>
    <t>対象者①</t>
    <rPh sb="0" eb="3">
      <t>タイショウシャ</t>
    </rPh>
    <phoneticPr fontId="1"/>
  </si>
  <si>
    <t>対象者②</t>
    <rPh sb="0" eb="3">
      <t>タイショウシャ</t>
    </rPh>
    <phoneticPr fontId="1"/>
  </si>
  <si>
    <t>マニュアル</t>
    <phoneticPr fontId="1"/>
  </si>
  <si>
    <t>比較元探し</t>
    <rPh sb="0" eb="3">
      <t>ヒカクモト</t>
    </rPh>
    <rPh sb="3" eb="4">
      <t>サガ</t>
    </rPh>
    <phoneticPr fontId="1"/>
  </si>
  <si>
    <t>ピッキング</t>
    <phoneticPr fontId="1"/>
  </si>
  <si>
    <t>毎週_ピッキングマスタ作成台帳作成</t>
    <rPh sb="0" eb="2">
      <t>マイシュウ</t>
    </rPh>
    <rPh sb="11" eb="13">
      <t>サクセイ</t>
    </rPh>
    <rPh sb="13" eb="15">
      <t>ダイチョウ</t>
    </rPh>
    <rPh sb="15" eb="17">
      <t>サクセイ</t>
    </rPh>
    <phoneticPr fontId="1"/>
  </si>
  <si>
    <t>ピッキング_AC CMピッキング 作成</t>
    <rPh sb="17" eb="19">
      <t>サクセイ</t>
    </rPh>
    <phoneticPr fontId="1"/>
  </si>
  <si>
    <t>ピッキング_A_部品ピッキング 作成</t>
    <rPh sb="8" eb="10">
      <t>ブヒン</t>
    </rPh>
    <rPh sb="16" eb="18">
      <t>サクセイ</t>
    </rPh>
    <phoneticPr fontId="1"/>
  </si>
  <si>
    <t>ピッキングチェックマクロ</t>
    <phoneticPr fontId="1"/>
  </si>
  <si>
    <t>使い方</t>
    <rPh sb="0" eb="1">
      <t>ツカ</t>
    </rPh>
    <rPh sb="2" eb="3">
      <t>カタ</t>
    </rPh>
    <phoneticPr fontId="1"/>
  </si>
  <si>
    <t>マクロの説明</t>
    <rPh sb="4" eb="6">
      <t>セツメイ</t>
    </rPh>
    <phoneticPr fontId="1"/>
  </si>
  <si>
    <t>未</t>
    <rPh sb="0" eb="1">
      <t>ミ</t>
    </rPh>
    <phoneticPr fontId="1"/>
  </si>
  <si>
    <t>？</t>
    <phoneticPr fontId="1"/>
  </si>
  <si>
    <t>構成変更</t>
    <rPh sb="0" eb="4">
      <t>コウセイヘンコウ</t>
    </rPh>
    <phoneticPr fontId="1"/>
  </si>
  <si>
    <t>部品一括変更</t>
    <rPh sb="0" eb="2">
      <t>ブヒン</t>
    </rPh>
    <rPh sb="2" eb="4">
      <t>イッカツ</t>
    </rPh>
    <rPh sb="4" eb="6">
      <t>ヘンコウ</t>
    </rPh>
    <phoneticPr fontId="1"/>
  </si>
  <si>
    <t>有</t>
    <rPh sb="0" eb="1">
      <t>アリ</t>
    </rPh>
    <phoneticPr fontId="1"/>
  </si>
  <si>
    <t>有</t>
    <rPh sb="0" eb="1">
      <t>ア</t>
    </rPh>
    <phoneticPr fontId="1"/>
  </si>
  <si>
    <t>新規部品の登録</t>
    <rPh sb="0" eb="4">
      <t>シンキブヒン</t>
    </rPh>
    <rPh sb="5" eb="7">
      <t>トウロク</t>
    </rPh>
    <phoneticPr fontId="1"/>
  </si>
  <si>
    <t>部品表エディタ</t>
    <rPh sb="0" eb="3">
      <t>ブヒンヒョウ</t>
    </rPh>
    <phoneticPr fontId="1"/>
  </si>
  <si>
    <t>仕掛りの部品変更</t>
    <phoneticPr fontId="1"/>
  </si>
  <si>
    <t>ピッキングチェック_確認方法</t>
    <rPh sb="10" eb="12">
      <t>カクニン</t>
    </rPh>
    <rPh sb="12" eb="14">
      <t>ホウホウ</t>
    </rPh>
    <phoneticPr fontId="1"/>
  </si>
  <si>
    <t>A部品</t>
    <rPh sb="1" eb="3">
      <t>ブヒン</t>
    </rPh>
    <phoneticPr fontId="1"/>
  </si>
  <si>
    <t>A･C_SM</t>
    <phoneticPr fontId="1"/>
  </si>
  <si>
    <t>NEW部品ピッキング</t>
    <rPh sb="3" eb="5">
      <t>ブヒン</t>
    </rPh>
    <phoneticPr fontId="1"/>
  </si>
  <si>
    <t>送付表処理</t>
    <rPh sb="0" eb="3">
      <t>ソウフヒョウ</t>
    </rPh>
    <rPh sb="3" eb="5">
      <t>ショリ</t>
    </rPh>
    <phoneticPr fontId="1"/>
  </si>
  <si>
    <t>送付表処理の流れ</t>
    <rPh sb="0" eb="3">
      <t>ソウフヒョウ</t>
    </rPh>
    <rPh sb="3" eb="5">
      <t>ショリ</t>
    </rPh>
    <rPh sb="6" eb="7">
      <t>ナガ</t>
    </rPh>
    <phoneticPr fontId="1"/>
  </si>
  <si>
    <t>AASの登録</t>
    <rPh sb="4" eb="6">
      <t>トウロク</t>
    </rPh>
    <phoneticPr fontId="1"/>
  </si>
  <si>
    <t>-----</t>
    <phoneticPr fontId="1"/>
  </si>
  <si>
    <t>比較表フォーマット作成</t>
    <rPh sb="0" eb="3">
      <t>ヒカクヒョウ</t>
    </rPh>
    <rPh sb="9" eb="11">
      <t>サクセイ</t>
    </rPh>
    <phoneticPr fontId="1"/>
  </si>
  <si>
    <t>参照ファイル作成</t>
    <rPh sb="0" eb="2">
      <t>サンショウ</t>
    </rPh>
    <rPh sb="6" eb="8">
      <t>サクセイ</t>
    </rPh>
    <phoneticPr fontId="1"/>
  </si>
  <si>
    <t>毎週_アンマッチ作成</t>
    <rPh sb="0" eb="2">
      <t>マイシュウ</t>
    </rPh>
    <rPh sb="8" eb="10">
      <t>サクセイ</t>
    </rPh>
    <phoneticPr fontId="1"/>
  </si>
  <si>
    <t>反復練習
_対象者①</t>
    <rPh sb="0" eb="2">
      <t>ハンプク</t>
    </rPh>
    <rPh sb="2" eb="4">
      <t>レンシュウ</t>
    </rPh>
    <phoneticPr fontId="1"/>
  </si>
  <si>
    <t>反復練習
_対象者②</t>
    <rPh sb="0" eb="2">
      <t>ハンプク</t>
    </rPh>
    <rPh sb="2" eb="4">
      <t>レンシュウ</t>
    </rPh>
    <phoneticPr fontId="1"/>
  </si>
  <si>
    <t>実践初期
_対象者①</t>
    <rPh sb="0" eb="4">
      <t>ジッセンショキ</t>
    </rPh>
    <phoneticPr fontId="1"/>
  </si>
  <si>
    <t>実践初期
_対象者②</t>
    <phoneticPr fontId="1"/>
  </si>
  <si>
    <t>○</t>
    <phoneticPr fontId="1"/>
  </si>
  <si>
    <t>中村さんピッキングチェック確認</t>
    <rPh sb="0" eb="2">
      <t>ナカムラ</t>
    </rPh>
    <rPh sb="13" eb="15">
      <t>カクニン</t>
    </rPh>
    <phoneticPr fontId="1"/>
  </si>
  <si>
    <t>対象者③</t>
    <rPh sb="0" eb="3">
      <t>タイショウシャ</t>
    </rPh>
    <phoneticPr fontId="1"/>
  </si>
  <si>
    <t>三浦D</t>
    <rPh sb="0" eb="2">
      <t>ミウラ</t>
    </rPh>
    <phoneticPr fontId="1"/>
  </si>
  <si>
    <t>●中村D_済</t>
    <rPh sb="1" eb="3">
      <t>ナカムラ</t>
    </rPh>
    <rPh sb="5" eb="6">
      <t>スミ</t>
    </rPh>
    <phoneticPr fontId="1"/>
  </si>
  <si>
    <t>寺田D</t>
    <phoneticPr fontId="1"/>
  </si>
  <si>
    <t>●寺田D_済</t>
    <rPh sb="1" eb="3">
      <t>テラダ</t>
    </rPh>
    <phoneticPr fontId="1"/>
  </si>
  <si>
    <t>●寺田D_済</t>
    <phoneticPr fontId="1"/>
  </si>
  <si>
    <t>情報システム部_改善依頼案件</t>
    <rPh sb="0" eb="2">
      <t>ジョウホウ</t>
    </rPh>
    <rPh sb="6" eb="7">
      <t>ブ</t>
    </rPh>
    <rPh sb="8" eb="10">
      <t>カイゼン</t>
    </rPh>
    <rPh sb="10" eb="12">
      <t>イライ</t>
    </rPh>
    <rPh sb="12" eb="14">
      <t>アンケン</t>
    </rPh>
    <phoneticPr fontId="1"/>
  </si>
  <si>
    <t>生成AIへの依頼文面</t>
    <rPh sb="0" eb="2">
      <t>セイセイ</t>
    </rPh>
    <rPh sb="6" eb="8">
      <t>イライ</t>
    </rPh>
    <rPh sb="8" eb="10">
      <t>ブンメン</t>
    </rPh>
    <phoneticPr fontId="1"/>
  </si>
  <si>
    <t>懸念事項</t>
    <rPh sb="0" eb="4">
      <t>ケネンジコウ</t>
    </rPh>
    <phoneticPr fontId="1"/>
  </si>
  <si>
    <t>やり方覚える、練習する</t>
    <rPh sb="2" eb="3">
      <t>カタ</t>
    </rPh>
    <rPh sb="3" eb="4">
      <t>オボ</t>
    </rPh>
    <rPh sb="7" eb="9">
      <t>レンシュウ</t>
    </rPh>
    <phoneticPr fontId="1"/>
  </si>
  <si>
    <t>やり方覚えて抽出ダメしておくようにする。そのうちだれかに任せたい。</t>
    <rPh sb="2" eb="3">
      <t>カタ</t>
    </rPh>
    <rPh sb="3" eb="4">
      <t>オボ</t>
    </rPh>
    <rPh sb="6" eb="8">
      <t>チュウシュツ</t>
    </rPh>
    <rPh sb="28" eb="29">
      <t>マカ</t>
    </rPh>
    <phoneticPr fontId="1"/>
  </si>
  <si>
    <t>練習する、作りだめする、そのうち誰かに任せたい</t>
    <rPh sb="0" eb="2">
      <t>レンシュウ</t>
    </rPh>
    <rPh sb="5" eb="6">
      <t>ツク</t>
    </rPh>
    <rPh sb="16" eb="17">
      <t>ダレ</t>
    </rPh>
    <rPh sb="19" eb="20">
      <t>マカ</t>
    </rPh>
    <phoneticPr fontId="1"/>
  </si>
  <si>
    <t>ー</t>
    <phoneticPr fontId="1"/>
  </si>
  <si>
    <t>やり方覚える、使用するのは中村さん、中村さんの指摘の理由がわかるレベルまで成長しないとダメ</t>
    <rPh sb="2" eb="4">
      <t>カタオボ</t>
    </rPh>
    <rPh sb="7" eb="9">
      <t>シヨウ</t>
    </rPh>
    <rPh sb="13" eb="15">
      <t>ナカムラ</t>
    </rPh>
    <rPh sb="18" eb="20">
      <t>ナカムラ</t>
    </rPh>
    <rPh sb="23" eb="25">
      <t>シテキ</t>
    </rPh>
    <rPh sb="26" eb="28">
      <t>リユウ</t>
    </rPh>
    <rPh sb="37" eb="39">
      <t>セイチョウ</t>
    </rPh>
    <phoneticPr fontId="1"/>
  </si>
  <si>
    <t>やり方覚える、だれかに管理任せる</t>
    <rPh sb="2" eb="3">
      <t>カタ</t>
    </rPh>
    <rPh sb="3" eb="4">
      <t>オボ</t>
    </rPh>
    <rPh sb="11" eb="14">
      <t>カンリマカ</t>
    </rPh>
    <phoneticPr fontId="1"/>
  </si>
  <si>
    <t>練習する、そのうち誰かに任せる</t>
    <rPh sb="0" eb="2">
      <t>レンシュウ</t>
    </rPh>
    <rPh sb="9" eb="10">
      <t>ダレ</t>
    </rPh>
    <rPh sb="12" eb="13">
      <t>マカ</t>
    </rPh>
    <phoneticPr fontId="1"/>
  </si>
  <si>
    <t>やり方、判定の出方を覚える</t>
    <rPh sb="2" eb="3">
      <t>カタ</t>
    </rPh>
    <rPh sb="4" eb="6">
      <t>ハンテイ</t>
    </rPh>
    <rPh sb="7" eb="9">
      <t>デカタ</t>
    </rPh>
    <rPh sb="10" eb="11">
      <t>オボ</t>
    </rPh>
    <phoneticPr fontId="1"/>
  </si>
  <si>
    <t>練習する、絶対忘れない</t>
    <rPh sb="0" eb="2">
      <t>レンシュウ</t>
    </rPh>
    <rPh sb="5" eb="7">
      <t>ゼッタイ</t>
    </rPh>
    <rPh sb="7" eb="8">
      <t>ワス</t>
    </rPh>
    <phoneticPr fontId="1"/>
  </si>
  <si>
    <t>やり方覚える、練習する、結構できる</t>
    <rPh sb="2" eb="3">
      <t>カタ</t>
    </rPh>
    <rPh sb="3" eb="4">
      <t>オボ</t>
    </rPh>
    <rPh sb="7" eb="9">
      <t>レンシュウ</t>
    </rPh>
    <rPh sb="12" eb="14">
      <t>ケッコウ</t>
    </rPh>
    <phoneticPr fontId="1"/>
  </si>
  <si>
    <t>できる、そのうち誰かに任せる、チェックはする</t>
    <rPh sb="8" eb="9">
      <t>ダレ</t>
    </rPh>
    <rPh sb="11" eb="12">
      <t>マカ</t>
    </rPh>
    <phoneticPr fontId="1"/>
  </si>
  <si>
    <t>比較元有～完成まで（流用元が見つかってから作成するまでの工程）</t>
    <rPh sb="0" eb="3">
      <t>ヒカクモト</t>
    </rPh>
    <rPh sb="3" eb="4">
      <t>ア</t>
    </rPh>
    <rPh sb="5" eb="7">
      <t>カンセイ</t>
    </rPh>
    <phoneticPr fontId="1"/>
  </si>
  <si>
    <t>エクセルシート(杉原さん作成)のチェック</t>
    <phoneticPr fontId="1"/>
  </si>
  <si>
    <t>杉原さんが作成したエクセルシートを提出してくれるのでチェックして返す（不要になる可能性あり）</t>
    <rPh sb="0" eb="2">
      <t>スギハラ</t>
    </rPh>
    <rPh sb="5" eb="7">
      <t>サクセイ</t>
    </rPh>
    <rPh sb="17" eb="19">
      <t>テイシュツ</t>
    </rPh>
    <rPh sb="32" eb="33">
      <t>カエ</t>
    </rPh>
    <rPh sb="35" eb="37">
      <t>フヨウ</t>
    </rPh>
    <rPh sb="40" eb="43">
      <t>カノウセイ</t>
    </rPh>
    <phoneticPr fontId="1"/>
  </si>
  <si>
    <t>設通クローズ</t>
    <rPh sb="0" eb="2">
      <t>セッツウ</t>
    </rPh>
    <phoneticPr fontId="1"/>
  </si>
  <si>
    <t>できる</t>
    <phoneticPr fontId="1"/>
  </si>
  <si>
    <t>構成表チェック</t>
    <rPh sb="0" eb="3">
      <t>コウセイヒョウ</t>
    </rPh>
    <phoneticPr fontId="1"/>
  </si>
  <si>
    <t>クローズした品番を送付する</t>
    <rPh sb="6" eb="8">
      <t>ヒンバン</t>
    </rPh>
    <rPh sb="9" eb="11">
      <t>ソウフ</t>
    </rPh>
    <phoneticPr fontId="1"/>
  </si>
  <si>
    <t>中村さんへ一覧を送付しチェックマクロを回してもらう。</t>
    <rPh sb="0" eb="2">
      <t>ナカムラ</t>
    </rPh>
    <rPh sb="5" eb="7">
      <t>イチラン</t>
    </rPh>
    <rPh sb="8" eb="10">
      <t>ソウフ</t>
    </rPh>
    <rPh sb="19" eb="20">
      <t>マワ</t>
    </rPh>
    <phoneticPr fontId="1"/>
  </si>
  <si>
    <t>フィードバック</t>
    <phoneticPr fontId="1"/>
  </si>
  <si>
    <t>構成集英/発注にフォロー</t>
    <rPh sb="0" eb="4">
      <t>コウセイシュウエイ</t>
    </rPh>
    <rPh sb="5" eb="7">
      <t>ハッチュウ</t>
    </rPh>
    <phoneticPr fontId="1"/>
  </si>
  <si>
    <t>月曜日</t>
  </si>
  <si>
    <t> DAILY MTG</t>
  </si>
  <si>
    <t> 支給品新規品番有無確認（ちょうちんあんこうメール参照）</t>
  </si>
  <si>
    <t> WEEKLY MTG招集メール※資料添付</t>
  </si>
  <si>
    <r>
      <t> </t>
    </r>
    <r>
      <rPr>
        <sz val="11"/>
        <color rgb="FF000000"/>
        <rFont val="Yu Gothic"/>
        <family val="3"/>
        <charset val="128"/>
      </rPr>
      <t>ピッキングリスト作成状況確認（</t>
    </r>
    <r>
      <rPr>
        <sz val="11"/>
        <color rgb="FF000000"/>
        <rFont val="游ゴシック"/>
        <family val="3"/>
        <charset val="128"/>
      </rPr>
      <t>毎週_ピッキングマスタ作成台帳作成）</t>
    </r>
  </si>
  <si>
    <t> 基準計画登録、日付メンテ</t>
  </si>
  <si>
    <t> 小日程リリース済み後ろから二日目の初品試作フラグの確認</t>
  </si>
  <si>
    <t>⇒おかしかったらずらしてもらう。（小日程作成者と会話する）</t>
  </si>
  <si>
    <t>火曜日</t>
  </si>
  <si>
    <t> WEEKLY MTG　午前・午後</t>
  </si>
  <si>
    <t> オーダー確認（オーダー確認リスト作成）</t>
  </si>
  <si>
    <r>
      <t> </t>
    </r>
    <r>
      <rPr>
        <sz val="11"/>
        <color rgb="FF000000"/>
        <rFont val="Yu Gothic"/>
        <family val="3"/>
        <charset val="128"/>
      </rPr>
      <t>サプライヤ指示新規品番有無確認（</t>
    </r>
    <r>
      <rPr>
        <sz val="11"/>
        <color rgb="FF000000"/>
        <rFont val="游ゴシック"/>
        <family val="3"/>
        <charset val="128"/>
      </rPr>
      <t>PEDI自動配信メール参照）</t>
    </r>
  </si>
  <si>
    <t>水曜日</t>
  </si>
  <si>
    <t>木曜日</t>
  </si>
  <si>
    <t> 生準会議（２週に１回）</t>
  </si>
  <si>
    <t> 試作会議（月に１回）</t>
  </si>
  <si>
    <t>金曜日</t>
  </si>
  <si>
    <t>【週次タスク】</t>
  </si>
  <si>
    <t> アンマッチリストに基づき構成登録（比較表作成～クローズ）</t>
  </si>
  <si>
    <t> OBL構成チェック（マクロ使用）</t>
  </si>
  <si>
    <t> ピッキングマスタ作成台帳作成に沿って内示分までピッキングリスト作成する</t>
  </si>
  <si>
    <t> 確定分のピッキングリスト確認１（マクロ使用）</t>
  </si>
  <si>
    <t> 確定分のピッキングリスト確認２（3D使用）</t>
  </si>
  <si>
    <t> 確定分部品在庫確認</t>
  </si>
  <si>
    <t>・前日の共有事項の確認
・本日の初品、イベント品の共有・確認（刻印、品番、ライン、台数、AAS有無、その他）
・判定の埋まっていない欄を埋める
・S/M展開マスタの記入・確認
・その他共有事項の確認
★以下指定の曜日のみの追加項目
（火）割り付けた生産日程に無理がないかの確認
（火）新しい確定品番の共有、WEEKLYMTGに向けた表埋めの依頼
（金）生準会議・試作部会議の情報共有・宿題確認</t>
    <rPh sb="25" eb="27">
      <t>キョウユウ</t>
    </rPh>
    <rPh sb="28" eb="30">
      <t>カクニン</t>
    </rPh>
    <rPh sb="101" eb="103">
      <t>イカ</t>
    </rPh>
    <rPh sb="103" eb="105">
      <t>シテイ</t>
    </rPh>
    <rPh sb="106" eb="108">
      <t>ヨウビ</t>
    </rPh>
    <rPh sb="111" eb="113">
      <t>ツイカ</t>
    </rPh>
    <rPh sb="113" eb="115">
      <t>コウモク</t>
    </rPh>
    <rPh sb="119" eb="120">
      <t>ワ</t>
    </rPh>
    <rPh sb="121" eb="122">
      <t>ツ</t>
    </rPh>
    <rPh sb="147" eb="149">
      <t>ヒンバン</t>
    </rPh>
    <rPh sb="192" eb="194">
      <t>シュクダイ</t>
    </rPh>
    <rPh sb="194" eb="196">
      <t>カクニン</t>
    </rPh>
    <phoneticPr fontId="1"/>
  </si>
  <si>
    <t> 支給品新規品番有無確認（ちょうちんあんこうメール参照）</t>
    <phoneticPr fontId="1"/>
  </si>
  <si>
    <t>ちょうちんあんこうから新規部品通知メールが来ているので、ちょうちんあんこうアプリの指定のページを開き、新規品番を確認する。
必要であれば切り替え通知を発行（必要であれば技計発行依頼も行う）
OBLとピッキングリスト上でサフィックスUPの処理を行う。</t>
    <rPh sb="11" eb="13">
      <t>シンキ</t>
    </rPh>
    <rPh sb="13" eb="15">
      <t>ブヒン</t>
    </rPh>
    <rPh sb="15" eb="17">
      <t>ツウチ</t>
    </rPh>
    <rPh sb="21" eb="22">
      <t>キ</t>
    </rPh>
    <rPh sb="41" eb="43">
      <t>シテイ</t>
    </rPh>
    <rPh sb="48" eb="49">
      <t>ヒラ</t>
    </rPh>
    <rPh sb="51" eb="55">
      <t>シンキヒンバン</t>
    </rPh>
    <rPh sb="56" eb="58">
      <t>カクニン</t>
    </rPh>
    <rPh sb="62" eb="64">
      <t>ヒツヨウ</t>
    </rPh>
    <rPh sb="68" eb="69">
      <t>キ</t>
    </rPh>
    <rPh sb="70" eb="71">
      <t>カ</t>
    </rPh>
    <rPh sb="72" eb="74">
      <t>ツウチ</t>
    </rPh>
    <rPh sb="75" eb="77">
      <t>ハッコウ</t>
    </rPh>
    <rPh sb="78" eb="80">
      <t>ヒツヨウ</t>
    </rPh>
    <rPh sb="84" eb="86">
      <t>ギケイ</t>
    </rPh>
    <rPh sb="86" eb="88">
      <t>ハッコウ</t>
    </rPh>
    <rPh sb="88" eb="90">
      <t>イライ</t>
    </rPh>
    <rPh sb="91" eb="92">
      <t>オコナ</t>
    </rPh>
    <rPh sb="107" eb="108">
      <t>ジョウ</t>
    </rPh>
    <rPh sb="118" eb="120">
      <t>ショリ</t>
    </rPh>
    <rPh sb="121" eb="122">
      <t>オコナ</t>
    </rPh>
    <phoneticPr fontId="1"/>
  </si>
  <si>
    <t> タピオカ確認</t>
    <phoneticPr fontId="1"/>
  </si>
  <si>
    <t>タピオカの新着がないかどうかの確認を行う。</t>
    <rPh sb="5" eb="7">
      <t>シンチャク</t>
    </rPh>
    <rPh sb="15" eb="17">
      <t>カクニン</t>
    </rPh>
    <rPh sb="18" eb="19">
      <t>オコナ</t>
    </rPh>
    <phoneticPr fontId="1"/>
  </si>
  <si>
    <t> 内示資料作成</t>
    <phoneticPr fontId="1"/>
  </si>
  <si>
    <t>内示資料作成</t>
    <phoneticPr fontId="1"/>
  </si>
  <si>
    <t>【Weekly_MTG】小型_26-01W資料.xlsx、★新_新規管理アイテムリスト.xlsxの作成・メンテを行う。</t>
    <rPh sb="49" eb="51">
      <t>サクセイ</t>
    </rPh>
    <rPh sb="56" eb="57">
      <t>オコナ</t>
    </rPh>
    <phoneticPr fontId="1"/>
  </si>
  <si>
    <t> アンマッチリスト作成</t>
    <phoneticPr fontId="1"/>
  </si>
  <si>
    <t xml:space="preserve">DAILY MTG </t>
    <phoneticPr fontId="1"/>
  </si>
  <si>
    <t>PAPLESからデータを落としてきて、設計材料表の作成を行う。</t>
    <rPh sb="12" eb="13">
      <t>オ</t>
    </rPh>
    <rPh sb="19" eb="24">
      <t>セッケイザイリョウヒョウ</t>
    </rPh>
    <rPh sb="25" eb="27">
      <t>サクセイ</t>
    </rPh>
    <rPh sb="28" eb="29">
      <t>オコナ</t>
    </rPh>
    <phoneticPr fontId="1"/>
  </si>
  <si>
    <t>ZOOMMTGを取得（1/12~TEAMS)しメールの送付を行う。</t>
    <rPh sb="8" eb="10">
      <t>シュトク</t>
    </rPh>
    <rPh sb="27" eb="29">
      <t>ソウフ</t>
    </rPh>
    <rPh sb="30" eb="31">
      <t>オコナ</t>
    </rPh>
    <phoneticPr fontId="1"/>
  </si>
  <si>
    <t>基準計画の入力と、先行生産する分の基準計画の日付を変更する。</t>
    <rPh sb="0" eb="4">
      <t>キジュンケイカク</t>
    </rPh>
    <rPh sb="5" eb="7">
      <t>ニュウリョク</t>
    </rPh>
    <rPh sb="9" eb="11">
      <t>センコウ</t>
    </rPh>
    <rPh sb="11" eb="13">
      <t>セイサン</t>
    </rPh>
    <rPh sb="15" eb="16">
      <t>ブン</t>
    </rPh>
    <rPh sb="17" eb="21">
      <t>キジュンケイカク</t>
    </rPh>
    <rPh sb="22" eb="24">
      <t>ヒヅケ</t>
    </rPh>
    <rPh sb="25" eb="27">
      <t>ヘンコウ</t>
    </rPh>
    <phoneticPr fontId="1"/>
  </si>
  <si>
    <t>進行、書記を行う。</t>
    <rPh sb="0" eb="2">
      <t>シンコウ</t>
    </rPh>
    <rPh sb="3" eb="5">
      <t>ショキ</t>
    </rPh>
    <rPh sb="6" eb="7">
      <t>オコナ</t>
    </rPh>
    <phoneticPr fontId="1"/>
  </si>
  <si>
    <t>OBLのマトリクスで構成表を出力し、マクロの「オーダー確認」を使用する。
次に寺田フォルダから「●チェック部品一覧」を開き、マクロの「オーダー確認２」を使用する。</t>
    <rPh sb="10" eb="13">
      <t>コウセイヒョウ</t>
    </rPh>
    <rPh sb="14" eb="16">
      <t>シュツリョク</t>
    </rPh>
    <rPh sb="27" eb="29">
      <t>カクニン</t>
    </rPh>
    <rPh sb="31" eb="33">
      <t>シヨウ</t>
    </rPh>
    <rPh sb="37" eb="38">
      <t>ツギ</t>
    </rPh>
    <rPh sb="39" eb="41">
      <t>テラダ</t>
    </rPh>
    <rPh sb="59" eb="60">
      <t>ヒラ</t>
    </rPh>
    <rPh sb="71" eb="73">
      <t>カクニン</t>
    </rPh>
    <rPh sb="76" eb="78">
      <t>シヨウ</t>
    </rPh>
    <phoneticPr fontId="1"/>
  </si>
  <si>
    <t>PEDIから新規部品通知メールが来ているので、新規品番を確認する。
必要であれば切り替え通知を発行（必要であれば技計発行依頼も行う）
OBLとピッキングリスト上でサフィックスUPの処理を行う。</t>
    <rPh sb="6" eb="8">
      <t>シンキ</t>
    </rPh>
    <rPh sb="8" eb="10">
      <t>ブヒン</t>
    </rPh>
    <rPh sb="10" eb="12">
      <t>ツウチ</t>
    </rPh>
    <rPh sb="16" eb="17">
      <t>キ</t>
    </rPh>
    <rPh sb="23" eb="27">
      <t>シンキヒンバン</t>
    </rPh>
    <rPh sb="28" eb="30">
      <t>カクニン</t>
    </rPh>
    <rPh sb="34" eb="36">
      <t>ヒツヨウ</t>
    </rPh>
    <rPh sb="40" eb="41">
      <t>キ</t>
    </rPh>
    <rPh sb="42" eb="43">
      <t>カ</t>
    </rPh>
    <rPh sb="44" eb="46">
      <t>ツウチ</t>
    </rPh>
    <rPh sb="47" eb="49">
      <t>ハッコウ</t>
    </rPh>
    <rPh sb="50" eb="52">
      <t>ヒツヨウ</t>
    </rPh>
    <rPh sb="56" eb="58">
      <t>ギケイ</t>
    </rPh>
    <rPh sb="58" eb="60">
      <t>ハッコウ</t>
    </rPh>
    <rPh sb="60" eb="62">
      <t>イライ</t>
    </rPh>
    <rPh sb="63" eb="64">
      <t>オコナ</t>
    </rPh>
    <rPh sb="79" eb="80">
      <t>ジョウ</t>
    </rPh>
    <rPh sb="90" eb="92">
      <t>ショリ</t>
    </rPh>
    <rPh sb="93" eb="94">
      <t>オコナ</t>
    </rPh>
    <phoneticPr fontId="1"/>
  </si>
  <si>
    <t> サプライヤ指示新規品番有無確認
（PEDI自動配信メール参照）</t>
    <phoneticPr fontId="1"/>
  </si>
  <si>
    <t>いすゞにて会議（TEAMSでも可）</t>
    <rPh sb="5" eb="7">
      <t>カイギ</t>
    </rPh>
    <rPh sb="15" eb="16">
      <t>カ</t>
    </rPh>
    <phoneticPr fontId="1"/>
  </si>
  <si>
    <t>TEAMSにて会議</t>
    <rPh sb="7" eb="9">
      <t>カイギ</t>
    </rPh>
    <phoneticPr fontId="1"/>
  </si>
  <si>
    <t> ピッキングマスタ作成台帳作成に沿って
内示分までピッキングリスト作成する</t>
    <phoneticPr fontId="1"/>
  </si>
  <si>
    <t>➀ピッキングリストと3Dの比較を行う。
➁修正を行う。直近生産分の場合にはBYIDも変更すること。</t>
    <rPh sb="13" eb="15">
      <t>ヒカク</t>
    </rPh>
    <rPh sb="16" eb="17">
      <t>オコナ</t>
    </rPh>
    <rPh sb="21" eb="23">
      <t>シュウセイ</t>
    </rPh>
    <rPh sb="24" eb="25">
      <t>オコナ</t>
    </rPh>
    <rPh sb="27" eb="29">
      <t>チョッキン</t>
    </rPh>
    <rPh sb="29" eb="32">
      <t>セイサンブン</t>
    </rPh>
    <rPh sb="33" eb="35">
      <t>バアイ</t>
    </rPh>
    <rPh sb="42" eb="44">
      <t>ヘンコウ</t>
    </rPh>
    <phoneticPr fontId="1"/>
  </si>
  <si>
    <t> オーダー確認（オーダー確認リスト作成）</t>
    <phoneticPr fontId="1"/>
  </si>
  <si>
    <t>オーダー確認リストを参照し、要チェックとなっている品番を探しに行く。</t>
    <rPh sb="10" eb="12">
      <t>サンショウ</t>
    </rPh>
    <rPh sb="14" eb="15">
      <t>ヨウ</t>
    </rPh>
    <rPh sb="25" eb="27">
      <t>ヒンバン</t>
    </rPh>
    <rPh sb="28" eb="29">
      <t>サガ</t>
    </rPh>
    <rPh sb="31" eb="32">
      <t>イ</t>
    </rPh>
    <phoneticPr fontId="1"/>
  </si>
  <si>
    <t>小日程が計画通りに入っているか確認を行う。
（小日程リリース当日の分はS,Nは入っていない可能性が高いため、リリース２日目の分を毎日確認するようにする。）</t>
    <rPh sb="0" eb="3">
      <t>ショウニッテイ</t>
    </rPh>
    <rPh sb="4" eb="7">
      <t>ケイカクドオ</t>
    </rPh>
    <rPh sb="9" eb="10">
      <t>ハイ</t>
    </rPh>
    <rPh sb="15" eb="17">
      <t>カクニン</t>
    </rPh>
    <rPh sb="18" eb="19">
      <t>オコナ</t>
    </rPh>
    <rPh sb="23" eb="26">
      <t>ショウニッテイ</t>
    </rPh>
    <rPh sb="30" eb="32">
      <t>トウジツ</t>
    </rPh>
    <rPh sb="33" eb="34">
      <t>ブン</t>
    </rPh>
    <rPh sb="39" eb="40">
      <t>ハイ</t>
    </rPh>
    <rPh sb="45" eb="48">
      <t>カノウセイ</t>
    </rPh>
    <rPh sb="49" eb="50">
      <t>タカ</t>
    </rPh>
    <rPh sb="59" eb="61">
      <t>ニチメ</t>
    </rPh>
    <rPh sb="62" eb="63">
      <t>ブン</t>
    </rPh>
    <rPh sb="64" eb="66">
      <t>マイニチ</t>
    </rPh>
    <rPh sb="66" eb="68">
      <t>カクニン</t>
    </rPh>
    <phoneticPr fontId="1"/>
  </si>
  <si>
    <r>
      <t xml:space="preserve">➀クローズした品番を送付する
</t>
    </r>
    <r>
      <rPr>
        <sz val="10"/>
        <rFont val="Meiryo UI"/>
        <family val="3"/>
        <charset val="128"/>
      </rPr>
      <t xml:space="preserve">➁マクロでチェックを行う
➂差異が出たものを報告してもらう
</t>
    </r>
    <r>
      <rPr>
        <sz val="10"/>
        <color rgb="FFFF0000"/>
        <rFont val="Meiryo UI"/>
        <family val="3"/>
        <charset val="128"/>
      </rPr>
      <t>➃差異のチェックと訂正</t>
    </r>
    <rPh sb="7" eb="9">
      <t>ヒンバン</t>
    </rPh>
    <rPh sb="10" eb="12">
      <t>ソウフ</t>
    </rPh>
    <rPh sb="25" eb="26">
      <t>オコナ</t>
    </rPh>
    <rPh sb="29" eb="31">
      <t>サイ</t>
    </rPh>
    <rPh sb="32" eb="33">
      <t>デ</t>
    </rPh>
    <rPh sb="37" eb="39">
      <t>ホウコク</t>
    </rPh>
    <rPh sb="46" eb="48">
      <t>サイ</t>
    </rPh>
    <rPh sb="54" eb="56">
      <t>テイセイ</t>
    </rPh>
    <phoneticPr fontId="1"/>
  </si>
  <si>
    <r>
      <rPr>
        <sz val="10"/>
        <rFont val="Meiryo UI"/>
        <family val="3"/>
        <charset val="128"/>
      </rPr>
      <t xml:space="preserve">➀マクロを使用しOBLとの比較を行う。
➁差異を報告する。
</t>
    </r>
    <r>
      <rPr>
        <sz val="10"/>
        <color rgb="FFFF0000"/>
        <rFont val="Meiryo UI"/>
        <family val="3"/>
        <charset val="128"/>
      </rPr>
      <t>➂差異のチェックと修正を行う</t>
    </r>
    <rPh sb="5" eb="7">
      <t>シヨウ</t>
    </rPh>
    <rPh sb="13" eb="15">
      <t>ヒカク</t>
    </rPh>
    <rPh sb="16" eb="17">
      <t>オコナ</t>
    </rPh>
    <rPh sb="21" eb="23">
      <t>サイ</t>
    </rPh>
    <rPh sb="24" eb="26">
      <t>ホウコク</t>
    </rPh>
    <rPh sb="31" eb="33">
      <t>サイ</t>
    </rPh>
    <rPh sb="39" eb="41">
      <t>シュウセイ</t>
    </rPh>
    <rPh sb="42" eb="43">
      <t>オコナ</t>
    </rPh>
    <phoneticPr fontId="1"/>
  </si>
  <si>
    <t>月曜に作成したピッキングマスタ作成台帳作成をもとにピッキングリストを作っていく
作成順は内示順。
★マクロで使用する「参照ファイル」の作成を定期的に行う必要がある。
➀マクロでエクセルを作成する。
➁結果を720にインプットする</t>
    <rPh sb="0" eb="2">
      <t>ゲツヨウ</t>
    </rPh>
    <rPh sb="3" eb="5">
      <t>サクセイ</t>
    </rPh>
    <rPh sb="34" eb="35">
      <t>ツク</t>
    </rPh>
    <rPh sb="40" eb="42">
      <t>サクセイ</t>
    </rPh>
    <rPh sb="42" eb="43">
      <t>ジュン</t>
    </rPh>
    <rPh sb="44" eb="47">
      <t>ナイジジュン</t>
    </rPh>
    <rPh sb="54" eb="56">
      <t>シヨウ</t>
    </rPh>
    <rPh sb="70" eb="73">
      <t>テイキテキ</t>
    </rPh>
    <rPh sb="74" eb="75">
      <t>オコナ</t>
    </rPh>
    <rPh sb="76" eb="78">
      <t>ヒツヨウ</t>
    </rPh>
    <rPh sb="93" eb="95">
      <t>サクセイ</t>
    </rPh>
    <rPh sb="100" eb="102">
      <t>ケッカ</t>
    </rPh>
    <phoneticPr fontId="1"/>
  </si>
  <si>
    <t>部品表エディタ（親品番ピンポイントで構成の中身を変える）</t>
    <rPh sb="0" eb="3">
      <t>ブヒンヒョウ</t>
    </rPh>
    <rPh sb="8" eb="11">
      <t>オヤヒンバン</t>
    </rPh>
    <rPh sb="18" eb="20">
      <t>コウセイ</t>
    </rPh>
    <rPh sb="21" eb="23">
      <t>ナカミ</t>
    </rPh>
    <rPh sb="24" eb="25">
      <t>カ</t>
    </rPh>
    <phoneticPr fontId="1"/>
  </si>
  <si>
    <t>AAS登録</t>
    <rPh sb="3" eb="5">
      <t>トウロク</t>
    </rPh>
    <phoneticPr fontId="1"/>
  </si>
  <si>
    <t>OBLの紐づけページで指定のエクセルファイルを読み込ませる形でAASを紐づけ、削除できる。</t>
    <rPh sb="4" eb="5">
      <t>ヒモ</t>
    </rPh>
    <rPh sb="11" eb="13">
      <t>シテイ</t>
    </rPh>
    <rPh sb="23" eb="24">
      <t>ヨ</t>
    </rPh>
    <rPh sb="25" eb="26">
      <t>コ</t>
    </rPh>
    <rPh sb="29" eb="30">
      <t>カタチ</t>
    </rPh>
    <rPh sb="35" eb="36">
      <t>ヒモ</t>
    </rPh>
    <rPh sb="39" eb="41">
      <t>サクジョ</t>
    </rPh>
    <phoneticPr fontId="1"/>
  </si>
  <si>
    <t>No.</t>
    <phoneticPr fontId="1"/>
  </si>
  <si>
    <t>仕事の名前</t>
    <rPh sb="0" eb="2">
      <t>シゴト</t>
    </rPh>
    <rPh sb="3" eb="5">
      <t>ナマエ</t>
    </rPh>
    <phoneticPr fontId="1"/>
  </si>
  <si>
    <t>仕事の内容</t>
    <rPh sb="0" eb="2">
      <t>シゴト</t>
    </rPh>
    <rPh sb="3" eb="5">
      <t>ナイヨウ</t>
    </rPh>
    <phoneticPr fontId="1"/>
  </si>
  <si>
    <t> DAILY MTG</t>
    <phoneticPr fontId="1"/>
  </si>
  <si>
    <t>現状</t>
    <rPh sb="0" eb="2">
      <t>ゲンジョウ</t>
    </rPh>
    <phoneticPr fontId="1"/>
  </si>
  <si>
    <t>これからやること</t>
    <phoneticPr fontId="1"/>
  </si>
  <si>
    <r>
      <t>新規部品の登録</t>
    </r>
    <r>
      <rPr>
        <sz val="10"/>
        <rFont val="Meiryo UI"/>
        <family val="3"/>
        <charset val="128"/>
      </rPr>
      <t>※杉原さん⇒技術課⇒クローズのアンマッチのframe登録と同様の流れ</t>
    </r>
    <rPh sb="0" eb="4">
      <t>シンキブヒン</t>
    </rPh>
    <rPh sb="5" eb="7">
      <t>トウロク</t>
    </rPh>
    <rPh sb="8" eb="10">
      <t>スギハラ</t>
    </rPh>
    <rPh sb="13" eb="16">
      <t>ギジュツカ</t>
    </rPh>
    <rPh sb="33" eb="35">
      <t>トウロク</t>
    </rPh>
    <rPh sb="36" eb="38">
      <t>ドウヨウ</t>
    </rPh>
    <rPh sb="39" eb="40">
      <t>ナガ</t>
    </rPh>
    <phoneticPr fontId="1"/>
  </si>
  <si>
    <t>⑥杉原さんがエクセル作成</t>
  </si>
  <si>
    <t>⑦エクセルシート(杉原さん作成)のチェック</t>
  </si>
  <si>
    <t>⑧構成登録（杉原さん）</t>
  </si>
  <si>
    <t>⑨工法リリース（技術課）</t>
  </si>
  <si>
    <t>⑩設通クローズ</t>
  </si>
  <si>
    <t xml:space="preserve">➀BricsCAD 図面抽出
</t>
    <phoneticPr fontId="1"/>
  </si>
  <si>
    <t>-</t>
    <phoneticPr fontId="1"/>
  </si>
  <si>
    <t>➁比較元探し</t>
    <phoneticPr fontId="1"/>
  </si>
  <si>
    <t>➃杉原さんに提出（紙で提出して保管フォルダにエクセルファイルを移動させる）</t>
    <rPh sb="9" eb="10">
      <t>カミ</t>
    </rPh>
    <rPh sb="11" eb="13">
      <t>テイシュツ</t>
    </rPh>
    <rPh sb="15" eb="17">
      <t>ホカン</t>
    </rPh>
    <rPh sb="31" eb="33">
      <t>イドウ</t>
    </rPh>
    <phoneticPr fontId="1"/>
  </si>
  <si>
    <t>マニュアル書き込み</t>
    <rPh sb="5" eb="6">
      <t>カ</t>
    </rPh>
    <rPh sb="7" eb="8">
      <t>コ</t>
    </rPh>
    <phoneticPr fontId="1"/>
  </si>
  <si>
    <t xml:space="preserve"> </t>
    <phoneticPr fontId="1"/>
  </si>
  <si>
    <t>マクロ使用手順のため、メンテができなければならない。</t>
    <rPh sb="3" eb="5">
      <t>シヨウ</t>
    </rPh>
    <rPh sb="5" eb="7">
      <t>テジュン</t>
    </rPh>
    <phoneticPr fontId="1"/>
  </si>
  <si>
    <t>マニュアル作成</t>
    <rPh sb="5" eb="7">
      <t>サクセイ</t>
    </rPh>
    <phoneticPr fontId="1"/>
  </si>
  <si>
    <t>\\sv1p000001\藤沢工場\工場向け\P24000(生産管理グループ)\藤沢工場共有フォルダ\企画Ｔｷｬﾋﾞﾈｯﾄ\(23)伊藤フォルダ\マニュアル</t>
    <phoneticPr fontId="1"/>
  </si>
  <si>
    <t>\\sv1p000001\藤沢工場\工場向け\P24000(生産管理グループ)\藤沢工場共有フォルダ\企画Ｔｷｬﾋﾞﾈｯﾄ\(23)伊藤フォルダ\マニュアル\納入指示アンマッチ\納入指示アンマッチ_手順書.docx</t>
    <phoneticPr fontId="1"/>
  </si>
  <si>
    <t>\\sv1p000001\藤沢工場\工場向け\P24000(生産管理グループ)\藤沢工場共有フォルダ\企画Ｔｷｬﾋﾞﾈｯﾄ\(23)伊藤フォルダ\マニュアル\DXF図面からの部品抽出</t>
    <phoneticPr fontId="1"/>
  </si>
  <si>
    <t>\\sv1p000001\藤沢工場\工場向け\P24000(生産管理グループ)\藤沢工場共有フォルダ\企画Ｔｷｬﾋﾞﾈｯﾄ\(23)伊藤フォルダ\マニュアル\OBL_構成変更\手順書_FRAMEに紐づく部品の一括変更.xlsx</t>
  </si>
  <si>
    <t>\\sv1p000001\藤沢工場\工場向け\P24000(生産管理グループ)\藤沢工場共有フォルダ\企画Ｔｷｬﾋﾞﾈｯﾄ\(23)伊藤フォルダ\マニュアル\OBL_構成変更\手順書_OBL仕掛りの部品変更方法.xlsx</t>
    <phoneticPr fontId="1"/>
  </si>
  <si>
    <t>\\sv1p000001\藤沢工場\工場向け\P24000(生産管理グループ)\藤沢工場共有フォルダ\企画Ｔｷｬﾋﾞﾈｯﾄ\(23)伊藤フォルダ\マニュアル\送付表処理\マニュアル_送付表処理.xlsx</t>
    <phoneticPr fontId="1"/>
  </si>
  <si>
    <t>～2/27完了</t>
    <rPh sb="5" eb="7">
      <t>カンリョウ</t>
    </rPh>
    <phoneticPr fontId="1"/>
  </si>
  <si>
    <t>ピンクの紙付ける流れ</t>
    <rPh sb="4" eb="6">
      <t>カミツ</t>
    </rPh>
    <rPh sb="8" eb="9">
      <t>ナガ</t>
    </rPh>
    <phoneticPr fontId="1"/>
  </si>
  <si>
    <r>
      <t>マニュアル書き込み</t>
    </r>
    <r>
      <rPr>
        <b/>
        <sz val="10"/>
        <color rgb="FFFF0000"/>
        <rFont val="Meiryo UI"/>
        <family val="3"/>
        <charset val="128"/>
      </rPr>
      <t>【~2/27】</t>
    </r>
    <r>
      <rPr>
        <sz val="10"/>
        <color rgb="FFFF0000"/>
        <rFont val="Meiryo UI"/>
        <family val="3"/>
        <charset val="128"/>
      </rPr>
      <t xml:space="preserve">
作成練習する
〇指定フォーマットでの作成練習（伊藤さん立ち合い）⇒伊藤さん作成分との答え合わせ 【</t>
    </r>
    <r>
      <rPr>
        <b/>
        <sz val="10"/>
        <color rgb="FFFF0000"/>
        <rFont val="Meiryo UI"/>
        <family val="3"/>
        <charset val="128"/>
      </rPr>
      <t>2/2,2/16】</t>
    </r>
    <r>
      <rPr>
        <sz val="10"/>
        <color rgb="FFFF0000"/>
        <rFont val="Meiryo UI"/>
        <family val="3"/>
        <charset val="128"/>
      </rPr>
      <t xml:space="preserve">
〇指定フォーマットでの作成⇒伊藤さん作成分との答え合わせ⇒メールでの展開  【</t>
    </r>
    <r>
      <rPr>
        <b/>
        <sz val="10"/>
        <color rgb="FFFF0000"/>
        <rFont val="Meiryo UI"/>
        <family val="3"/>
        <charset val="128"/>
      </rPr>
      <t>3/2～】</t>
    </r>
    <rPh sb="5" eb="6">
      <t>カ</t>
    </rPh>
    <rPh sb="7" eb="8">
      <t>コ</t>
    </rPh>
    <rPh sb="17" eb="19">
      <t>サクセイ</t>
    </rPh>
    <rPh sb="19" eb="21">
      <t>レンシュウ</t>
    </rPh>
    <rPh sb="25" eb="27">
      <t>シテイ</t>
    </rPh>
    <rPh sb="35" eb="37">
      <t>サクセイ</t>
    </rPh>
    <rPh sb="37" eb="39">
      <t>レンシュウ</t>
    </rPh>
    <rPh sb="40" eb="42">
      <t>イトウ</t>
    </rPh>
    <rPh sb="44" eb="45">
      <t>タ</t>
    </rPh>
    <rPh sb="46" eb="47">
      <t>ア</t>
    </rPh>
    <rPh sb="50" eb="52">
      <t>イトウ</t>
    </rPh>
    <rPh sb="54" eb="57">
      <t>サクセイブン</t>
    </rPh>
    <rPh sb="59" eb="60">
      <t>コタ</t>
    </rPh>
    <rPh sb="61" eb="62">
      <t>ア</t>
    </rPh>
    <rPh sb="77" eb="79">
      <t>シテイ</t>
    </rPh>
    <rPh sb="87" eb="89">
      <t>サクセイ</t>
    </rPh>
    <rPh sb="90" eb="92">
      <t>イトウ</t>
    </rPh>
    <rPh sb="94" eb="96">
      <t>サクセイ</t>
    </rPh>
    <rPh sb="96" eb="97">
      <t>ブン</t>
    </rPh>
    <rPh sb="99" eb="100">
      <t>コタ</t>
    </rPh>
    <rPh sb="101" eb="102">
      <t>ア</t>
    </rPh>
    <rPh sb="110" eb="112">
      <t>テンカイ</t>
    </rPh>
    <phoneticPr fontId="1"/>
  </si>
  <si>
    <r>
      <t>マニュアル書き込み【</t>
    </r>
    <r>
      <rPr>
        <b/>
        <sz val="10"/>
        <color rgb="FFFF0000"/>
        <rFont val="Meiryo UI"/>
        <family val="3"/>
        <charset val="128"/>
      </rPr>
      <t>~2/27】</t>
    </r>
    <r>
      <rPr>
        <sz val="10"/>
        <color rgb="FFFF0000"/>
        <rFont val="Meiryo UI"/>
        <family val="3"/>
        <charset val="128"/>
      </rPr>
      <t xml:space="preserve">
作成練習する
〇出力の作業を行い作業手順を覚える </t>
    </r>
    <r>
      <rPr>
        <b/>
        <sz val="10"/>
        <color rgb="FFFF0000"/>
        <rFont val="Meiryo UI"/>
        <family val="3"/>
        <charset val="128"/>
      </rPr>
      <t>【3/2～】</t>
    </r>
    <r>
      <rPr>
        <sz val="10"/>
        <color rgb="FFFF0000"/>
        <rFont val="Meiryo UI"/>
        <family val="3"/>
        <charset val="128"/>
      </rPr>
      <t xml:space="preserve">
</t>
    </r>
    <rPh sb="5" eb="6">
      <t>カ</t>
    </rPh>
    <rPh sb="7" eb="8">
      <t>コ</t>
    </rPh>
    <rPh sb="17" eb="19">
      <t>サクセイ</t>
    </rPh>
    <rPh sb="19" eb="21">
      <t>レンシュウ</t>
    </rPh>
    <rPh sb="25" eb="27">
      <t>シュツリョク</t>
    </rPh>
    <rPh sb="28" eb="30">
      <t>サギョウ</t>
    </rPh>
    <rPh sb="31" eb="32">
      <t>オコナ</t>
    </rPh>
    <rPh sb="33" eb="35">
      <t>サギョウ</t>
    </rPh>
    <rPh sb="35" eb="37">
      <t>テジュン</t>
    </rPh>
    <rPh sb="38" eb="39">
      <t>オボ</t>
    </rPh>
    <phoneticPr fontId="1"/>
  </si>
  <si>
    <r>
      <t>マニュアル作成
マニュアル書き込み</t>
    </r>
    <r>
      <rPr>
        <b/>
        <sz val="10"/>
        <color rgb="FFFF0000"/>
        <rFont val="Meiryo UI"/>
        <family val="3"/>
        <charset val="128"/>
      </rPr>
      <t>【~2/27】</t>
    </r>
    <r>
      <rPr>
        <sz val="10"/>
        <color rgb="FFFF0000"/>
        <rFont val="Meiryo UI"/>
        <family val="3"/>
        <charset val="128"/>
      </rPr>
      <t xml:space="preserve">
作成練習する
〇</t>
    </r>
    <r>
      <rPr>
        <b/>
        <sz val="10"/>
        <color rgb="FFFF0000"/>
        <rFont val="Meiryo UI"/>
        <family val="3"/>
        <charset val="128"/>
      </rPr>
      <t>2/16~</t>
    </r>
    <r>
      <rPr>
        <sz val="10"/>
        <color rgb="FFFF0000"/>
        <rFont val="Meiryo UI"/>
        <family val="3"/>
        <charset val="128"/>
      </rPr>
      <t>週５品番以上の作成を行う。（難易度高のものを残してもらえると助かります）</t>
    </r>
    <rPh sb="25" eb="27">
      <t>サクセイ</t>
    </rPh>
    <rPh sb="27" eb="29">
      <t>レンシュウ</t>
    </rPh>
    <rPh sb="38" eb="39">
      <t>シュウ</t>
    </rPh>
    <rPh sb="40" eb="42">
      <t>ヒンバン</t>
    </rPh>
    <rPh sb="42" eb="44">
      <t>イジョウ</t>
    </rPh>
    <rPh sb="45" eb="47">
      <t>サクセイ</t>
    </rPh>
    <rPh sb="48" eb="49">
      <t>オコナ</t>
    </rPh>
    <rPh sb="52" eb="55">
      <t>ナンイド</t>
    </rPh>
    <rPh sb="55" eb="56">
      <t>タカ</t>
    </rPh>
    <rPh sb="60" eb="61">
      <t>ノコ</t>
    </rPh>
    <rPh sb="68" eb="69">
      <t>タス</t>
    </rPh>
    <phoneticPr fontId="1"/>
  </si>
  <si>
    <r>
      <t>マニュアル作成
マニュアル書き込み</t>
    </r>
    <r>
      <rPr>
        <b/>
        <sz val="10"/>
        <color rgb="FFFF0000"/>
        <rFont val="Meiryo UI"/>
        <family val="3"/>
        <charset val="128"/>
      </rPr>
      <t>【~2/27】</t>
    </r>
    <r>
      <rPr>
        <sz val="10"/>
        <color rgb="FFFF0000"/>
        <rFont val="Meiryo UI"/>
        <family val="3"/>
        <charset val="128"/>
      </rPr>
      <t xml:space="preserve">
インプット
〇杉原さんのやってることを学ぶ </t>
    </r>
    <r>
      <rPr>
        <b/>
        <sz val="10"/>
        <color rgb="FFFF0000"/>
        <rFont val="Meiryo UI"/>
        <family val="3"/>
        <charset val="128"/>
      </rPr>
      <t xml:space="preserve"> 【～1/30】</t>
    </r>
    <r>
      <rPr>
        <sz val="10"/>
        <color rgb="FFFF0000"/>
        <rFont val="Meiryo UI"/>
        <family val="3"/>
        <charset val="128"/>
      </rPr>
      <t xml:space="preserve">
〇杉原さんからもらったやつチェックやり方学ぶ</t>
    </r>
    <r>
      <rPr>
        <b/>
        <sz val="10"/>
        <color rgb="FFFF0000"/>
        <rFont val="Meiryo UI"/>
        <family val="3"/>
        <charset val="128"/>
      </rPr>
      <t xml:space="preserve"> 【～2/13】
</t>
    </r>
    <r>
      <rPr>
        <sz val="10"/>
        <color rgb="FFFF0000"/>
        <rFont val="Meiryo UI"/>
        <family val="3"/>
        <charset val="128"/>
      </rPr>
      <t>作成練習する
〇</t>
    </r>
    <r>
      <rPr>
        <b/>
        <sz val="10"/>
        <color rgb="FFFF0000"/>
        <rFont val="Meiryo UI"/>
        <family val="3"/>
        <charset val="128"/>
      </rPr>
      <t>2/16~</t>
    </r>
    <r>
      <rPr>
        <sz val="10"/>
        <color rgb="FFFF0000"/>
        <rFont val="Meiryo UI"/>
        <family val="3"/>
        <charset val="128"/>
      </rPr>
      <t>週５品番以上の作成を行う。</t>
    </r>
    <rPh sb="5" eb="7">
      <t>サクセイ</t>
    </rPh>
    <rPh sb="13" eb="14">
      <t>カ</t>
    </rPh>
    <rPh sb="15" eb="16">
      <t>コ</t>
    </rPh>
    <rPh sb="32" eb="34">
      <t>スギハラ</t>
    </rPh>
    <rPh sb="44" eb="45">
      <t>マナ</t>
    </rPh>
    <phoneticPr fontId="1"/>
  </si>
  <si>
    <r>
      <t>マニュアル作成
マニュアル書き込み</t>
    </r>
    <r>
      <rPr>
        <b/>
        <sz val="10"/>
        <color rgb="FFFF0000"/>
        <rFont val="Meiryo UI"/>
        <family val="3"/>
        <charset val="128"/>
      </rPr>
      <t>【~2/27】</t>
    </r>
    <r>
      <rPr>
        <sz val="10"/>
        <color rgb="FFFF0000"/>
        <rFont val="Meiryo UI"/>
        <family val="3"/>
        <charset val="128"/>
      </rPr>
      <t xml:space="preserve">
インプット
〇マクロ回し方、仕組み学ぶ</t>
    </r>
    <r>
      <rPr>
        <b/>
        <sz val="10"/>
        <color rgb="FFFF0000"/>
        <rFont val="Meiryo UI"/>
        <family val="3"/>
        <charset val="128"/>
      </rPr>
      <t xml:space="preserve">  【～1/30】</t>
    </r>
    <r>
      <rPr>
        <sz val="10"/>
        <color rgb="FFFF0000"/>
        <rFont val="Meiryo UI"/>
        <family val="3"/>
        <charset val="128"/>
      </rPr>
      <t xml:space="preserve">
〇中村さんからもらったやつチェックやり方学ぶ </t>
    </r>
    <r>
      <rPr>
        <b/>
        <sz val="10"/>
        <color rgb="FFFF0000"/>
        <rFont val="Meiryo UI"/>
        <family val="3"/>
        <charset val="128"/>
      </rPr>
      <t xml:space="preserve">  【～2/13】</t>
    </r>
    <r>
      <rPr>
        <sz val="10"/>
        <color rgb="FFFF0000"/>
        <rFont val="Meiryo UI"/>
        <family val="3"/>
        <charset val="128"/>
      </rPr>
      <t xml:space="preserve">
チェック練習する
〇チェックと訂正を行う。結論を伊藤さんに渡して問題ないか確認してもらう</t>
    </r>
    <r>
      <rPr>
        <b/>
        <sz val="10"/>
        <color rgb="FFFF0000"/>
        <rFont val="Meiryo UI"/>
        <family val="3"/>
        <charset val="128"/>
      </rPr>
      <t>【3/2~】</t>
    </r>
    <rPh sb="55" eb="57">
      <t>ナカムラ</t>
    </rPh>
    <rPh sb="91" eb="93">
      <t>レンシュウ</t>
    </rPh>
    <rPh sb="102" eb="104">
      <t>テイセイ</t>
    </rPh>
    <rPh sb="105" eb="106">
      <t>オコナ</t>
    </rPh>
    <rPh sb="108" eb="110">
      <t>ケツロン</t>
    </rPh>
    <rPh sb="111" eb="113">
      <t>イトウ</t>
    </rPh>
    <rPh sb="116" eb="117">
      <t>ワタ</t>
    </rPh>
    <rPh sb="119" eb="121">
      <t>モンダイ</t>
    </rPh>
    <rPh sb="124" eb="126">
      <t>カクニン</t>
    </rPh>
    <phoneticPr fontId="1"/>
  </si>
  <si>
    <r>
      <t>マニュアル作成
マニュアル書き込み</t>
    </r>
    <r>
      <rPr>
        <b/>
        <sz val="10"/>
        <color rgb="FFFF0000"/>
        <rFont val="Meiryo UI"/>
        <family val="3"/>
        <charset val="128"/>
      </rPr>
      <t>【~2/27】</t>
    </r>
    <r>
      <rPr>
        <sz val="10"/>
        <color rgb="FFFF0000"/>
        <rFont val="Meiryo UI"/>
        <family val="3"/>
        <charset val="128"/>
      </rPr>
      <t xml:space="preserve">
作成練習する
〇</t>
    </r>
    <r>
      <rPr>
        <b/>
        <sz val="10"/>
        <color rgb="FFFF0000"/>
        <rFont val="Meiryo UI"/>
        <family val="3"/>
        <charset val="128"/>
      </rPr>
      <t>3/2~</t>
    </r>
    <r>
      <rPr>
        <sz val="10"/>
        <color rgb="FFFF0000"/>
        <rFont val="Meiryo UI"/>
        <family val="3"/>
        <charset val="128"/>
      </rPr>
      <t>週５品番以上の作成を行う。</t>
    </r>
    <rPh sb="25" eb="27">
      <t>サクセイ</t>
    </rPh>
    <rPh sb="27" eb="29">
      <t>レンシュウ</t>
    </rPh>
    <phoneticPr fontId="1"/>
  </si>
  <si>
    <r>
      <t>マニュアル作成
マニュアル書き込み</t>
    </r>
    <r>
      <rPr>
        <b/>
        <sz val="10"/>
        <color rgb="FFFF0000"/>
        <rFont val="Meiryo UI"/>
        <family val="3"/>
        <charset val="128"/>
      </rPr>
      <t>【~2/27】</t>
    </r>
    <r>
      <rPr>
        <sz val="10"/>
        <color rgb="FFFF0000"/>
        <rFont val="Meiryo UI"/>
        <family val="3"/>
        <charset val="128"/>
      </rPr>
      <t xml:space="preserve">
インプット
〇マクロ回し方、仕組み学ぶ </t>
    </r>
    <r>
      <rPr>
        <b/>
        <sz val="10"/>
        <color rgb="FFFF0000"/>
        <rFont val="Meiryo UI"/>
        <family val="3"/>
        <charset val="128"/>
      </rPr>
      <t xml:space="preserve"> 【～1/30】</t>
    </r>
    <r>
      <rPr>
        <sz val="10"/>
        <color rgb="FFFF0000"/>
        <rFont val="Meiryo UI"/>
        <family val="3"/>
        <charset val="128"/>
      </rPr>
      <t xml:space="preserve">
〇中村さんからもらったやつチェックやり方学ぶ  </t>
    </r>
    <r>
      <rPr>
        <b/>
        <sz val="10"/>
        <color rgb="FFFF0000"/>
        <rFont val="Meiryo UI"/>
        <family val="3"/>
        <charset val="128"/>
      </rPr>
      <t xml:space="preserve"> 【～2/13】</t>
    </r>
    <r>
      <rPr>
        <sz val="10"/>
        <color rgb="FFFF0000"/>
        <rFont val="Meiryo UI"/>
        <family val="3"/>
        <charset val="128"/>
      </rPr>
      <t xml:space="preserve">
チェック練習する
〇チェックと訂正を行う。結論を伊藤さんに渡して問題ないか確認してもらう </t>
    </r>
    <r>
      <rPr>
        <b/>
        <sz val="10"/>
        <color rgb="FFFF0000"/>
        <rFont val="Meiryo UI"/>
        <family val="3"/>
        <charset val="128"/>
      </rPr>
      <t>【3/2~】</t>
    </r>
    <phoneticPr fontId="1"/>
  </si>
  <si>
    <r>
      <t>マニュアル書き込み</t>
    </r>
    <r>
      <rPr>
        <b/>
        <sz val="10"/>
        <color rgb="FFFF0000"/>
        <rFont val="Meiryo UI"/>
        <family val="3"/>
        <charset val="128"/>
      </rPr>
      <t>【~2/27】</t>
    </r>
    <r>
      <rPr>
        <sz val="10"/>
        <color rgb="FFFF0000"/>
        <rFont val="Meiryo UI"/>
        <family val="3"/>
        <charset val="128"/>
      </rPr>
      <t xml:space="preserve">
インプット
〇やり方を学ぶ</t>
    </r>
    <r>
      <rPr>
        <b/>
        <sz val="10"/>
        <color rgb="FFFF0000"/>
        <rFont val="Meiryo UI"/>
        <family val="3"/>
        <charset val="128"/>
      </rPr>
      <t xml:space="preserve">  【至急】（機会がないため）</t>
    </r>
    <r>
      <rPr>
        <sz val="10"/>
        <color rgb="FFFF0000"/>
        <rFont val="Meiryo UI"/>
        <family val="3"/>
        <charset val="128"/>
      </rPr>
      <t xml:space="preserve">
練習をする
〇伊藤さん/杉原さんにみてもらって行う</t>
    </r>
    <r>
      <rPr>
        <b/>
        <sz val="10"/>
        <color rgb="FFFF0000"/>
        <rFont val="Meiryo UI"/>
        <family val="3"/>
        <charset val="128"/>
      </rPr>
      <t>【インプット完了後機会があればすべて回してもらう】</t>
    </r>
    <rPh sb="26" eb="27">
      <t>カタ</t>
    </rPh>
    <rPh sb="28" eb="29">
      <t>マナ</t>
    </rPh>
    <rPh sb="33" eb="35">
      <t>シキュウ</t>
    </rPh>
    <rPh sb="37" eb="39">
      <t>キカイ</t>
    </rPh>
    <rPh sb="53" eb="55">
      <t>イトウ</t>
    </rPh>
    <rPh sb="58" eb="60">
      <t>スギハラ</t>
    </rPh>
    <rPh sb="69" eb="70">
      <t>オコナ</t>
    </rPh>
    <rPh sb="77" eb="80">
      <t>カンリョウゴ</t>
    </rPh>
    <rPh sb="80" eb="82">
      <t>キカイ</t>
    </rPh>
    <rPh sb="89" eb="90">
      <t>マワ</t>
    </rPh>
    <phoneticPr fontId="1"/>
  </si>
  <si>
    <r>
      <t>マニュアル作成
マニュアル書き込み</t>
    </r>
    <r>
      <rPr>
        <b/>
        <sz val="10"/>
        <color rgb="FFFF0000"/>
        <rFont val="Meiryo UI"/>
        <family val="3"/>
        <charset val="128"/>
      </rPr>
      <t>【~2/27】</t>
    </r>
    <r>
      <rPr>
        <sz val="10"/>
        <color rgb="FFFF0000"/>
        <rFont val="Meiryo UI"/>
        <family val="3"/>
        <charset val="128"/>
      </rPr>
      <t xml:space="preserve">
インプット・アウトプット
〇ロジックを理解し、資料にまとめる</t>
    </r>
    <r>
      <rPr>
        <b/>
        <sz val="10"/>
        <color rgb="FFFF0000"/>
        <rFont val="Meiryo UI"/>
        <family val="3"/>
        <charset val="128"/>
      </rPr>
      <t xml:space="preserve">  【~2/27】</t>
    </r>
    <rPh sb="44" eb="46">
      <t>リカイ</t>
    </rPh>
    <rPh sb="48" eb="50">
      <t>シリョウ</t>
    </rPh>
    <phoneticPr fontId="1"/>
  </si>
  <si>
    <r>
      <t>マニュアル書き込み</t>
    </r>
    <r>
      <rPr>
        <b/>
        <sz val="10"/>
        <color rgb="FFFF0000"/>
        <rFont val="Meiryo UI"/>
        <family val="3"/>
        <charset val="128"/>
      </rPr>
      <t>【~2/27】</t>
    </r>
    <r>
      <rPr>
        <sz val="10"/>
        <color rgb="FFFF0000"/>
        <rFont val="Meiryo UI"/>
        <family val="3"/>
        <charset val="128"/>
      </rPr>
      <t xml:space="preserve">
作成練習する
〇</t>
    </r>
    <r>
      <rPr>
        <b/>
        <sz val="10"/>
        <color rgb="FFFF0000"/>
        <rFont val="Meiryo UI"/>
        <family val="3"/>
        <charset val="128"/>
      </rPr>
      <t>3/2~</t>
    </r>
    <r>
      <rPr>
        <sz val="10"/>
        <color rgb="FFFF0000"/>
        <rFont val="Meiryo UI"/>
        <family val="3"/>
        <charset val="128"/>
      </rPr>
      <t>行う。</t>
    </r>
    <rPh sb="17" eb="19">
      <t>サクセイ</t>
    </rPh>
    <rPh sb="19" eb="21">
      <t>レンシュウ</t>
    </rPh>
    <phoneticPr fontId="1"/>
  </si>
  <si>
    <t>-</t>
    <phoneticPr fontId="1"/>
  </si>
  <si>
    <t>引継ぎ者</t>
    <rPh sb="0" eb="2">
      <t>ヒキツ</t>
    </rPh>
    <rPh sb="3" eb="4">
      <t>シャ</t>
    </rPh>
    <phoneticPr fontId="1"/>
  </si>
  <si>
    <t>寺田</t>
    <rPh sb="0" eb="2">
      <t>テラダ</t>
    </rPh>
    <phoneticPr fontId="1"/>
  </si>
  <si>
    <t>技術課</t>
    <rPh sb="0" eb="3">
      <t>ギジュツカ</t>
    </rPh>
    <phoneticPr fontId="1"/>
  </si>
  <si>
    <t>杉原さん</t>
    <rPh sb="0" eb="2">
      <t>スギハラ</t>
    </rPh>
    <phoneticPr fontId="1"/>
  </si>
  <si>
    <t>寺田⇒Ｘ（or三浦さん）</t>
    <rPh sb="0" eb="2">
      <t>テラダ</t>
    </rPh>
    <rPh sb="7" eb="9">
      <t>ミウラ</t>
    </rPh>
    <phoneticPr fontId="1"/>
  </si>
  <si>
    <t>寺田⇒ X</t>
    <rPh sb="0" eb="2">
      <t>テラダ</t>
    </rPh>
    <phoneticPr fontId="1"/>
  </si>
  <si>
    <t>全担当者</t>
    <rPh sb="0" eb="4">
      <t>ゼンタントウシャ</t>
    </rPh>
    <phoneticPr fontId="1"/>
  </si>
  <si>
    <t>1件に要する時間（分）</t>
    <rPh sb="1" eb="2">
      <t>ケン</t>
    </rPh>
    <rPh sb="3" eb="4">
      <t>ヨウ</t>
    </rPh>
    <rPh sb="6" eb="8">
      <t>ジカン</t>
    </rPh>
    <rPh sb="9" eb="10">
      <t>ブン</t>
    </rPh>
    <phoneticPr fontId="1"/>
  </si>
  <si>
    <t>一週間当たり件数</t>
    <rPh sb="0" eb="3">
      <t>イッシュウカン</t>
    </rPh>
    <rPh sb="3" eb="4">
      <t>ア</t>
    </rPh>
    <rPh sb="6" eb="8">
      <t>ケンスウ</t>
    </rPh>
    <phoneticPr fontId="1"/>
  </si>
  <si>
    <t>➂比較元有～完成まで
（流用元が見つかってから作成するまでの工程）</t>
    <phoneticPr fontId="1"/>
  </si>
  <si>
    <t>1週間に要する時間</t>
    <rPh sb="1" eb="3">
      <t>シュウカン</t>
    </rPh>
    <rPh sb="4" eb="5">
      <t>ヨウ</t>
    </rPh>
    <rPh sb="7" eb="9">
      <t>ジカン</t>
    </rPh>
    <phoneticPr fontId="1"/>
  </si>
  <si>
    <t>伊藤⇒寺田</t>
    <rPh sb="0" eb="2">
      <t>イトウ</t>
    </rPh>
    <rPh sb="3" eb="5">
      <t>テラダ</t>
    </rPh>
    <phoneticPr fontId="1"/>
  </si>
  <si>
    <t>伊藤⇒寺田（or X）</t>
    <rPh sb="0" eb="2">
      <t>イトウ</t>
    </rPh>
    <rPh sb="3" eb="5">
      <t>テラダ</t>
    </rPh>
    <phoneticPr fontId="1"/>
  </si>
  <si>
    <t>中村⇒Ｘ
伊藤⇒寺田</t>
    <rPh sb="0" eb="2">
      <t>ナカムラ</t>
    </rPh>
    <rPh sb="5" eb="7">
      <t>イトウ</t>
    </rPh>
    <rPh sb="8" eb="10">
      <t>テラダ</t>
    </rPh>
    <phoneticPr fontId="1"/>
  </si>
  <si>
    <t>杉原</t>
    <rPh sb="0" eb="2">
      <t>スギハラ</t>
    </rPh>
    <phoneticPr fontId="1"/>
  </si>
  <si>
    <t>伊藤,寺田</t>
    <rPh sb="0" eb="2">
      <t>イトウ</t>
    </rPh>
    <rPh sb="3" eb="5">
      <t>テラダ</t>
    </rPh>
    <phoneticPr fontId="1"/>
  </si>
  <si>
    <t>寺田・三浦</t>
    <rPh sb="0" eb="2">
      <t>テラダ</t>
    </rPh>
    <rPh sb="3" eb="5">
      <t>ミウラ</t>
    </rPh>
    <phoneticPr fontId="1"/>
  </si>
  <si>
    <t>分</t>
    <rPh sb="0" eb="1">
      <t>フン</t>
    </rPh>
    <phoneticPr fontId="1"/>
  </si>
  <si>
    <t>時間</t>
    <rPh sb="0" eb="2">
      <t>ジカン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</si>
</sst>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5">
    <font>
      <sz val="10"/>
      <color theme="1"/>
      <name val="ＭＳ ゴシック"/>
      <family val="2"/>
      <charset val="128"/>
    </font>
    <font>
      <sz val="6"/>
      <name val="ＭＳ ゴシック"/>
      <family val="2"/>
      <charset val="128"/>
    </font>
    <font>
      <sz val="10"/>
      <color theme="1"/>
      <name val="Meiryo UI"/>
      <family val="3"/>
      <charset val="128"/>
    </font>
    <font>
      <b/>
      <sz val="10"/>
      <color rgb="FFFF0000"/>
      <name val="Meiryo UI"/>
      <family val="3"/>
      <charset val="128"/>
    </font>
    <font>
      <b/>
      <sz val="11"/>
      <color theme="1"/>
      <name val="游ゴシック"/>
      <family val="3"/>
      <charset val="128"/>
    </font>
    <font>
      <sz val="11"/>
      <color rgb="FF000000"/>
      <name val="Yu Gothic"/>
      <family val="3"/>
      <charset val="128"/>
    </font>
    <font>
      <sz val="11"/>
      <color rgb="FF000000"/>
      <name val="游ゴシック"/>
      <family val="3"/>
      <charset val="128"/>
    </font>
    <font>
      <sz val="11"/>
      <color theme="1"/>
      <name val="Yu Gothic"/>
      <family val="3"/>
      <charset val="128"/>
    </font>
    <font>
      <b/>
      <sz val="11"/>
      <color theme="1"/>
      <name val="Yu Gothic"/>
      <family val="3"/>
      <charset val="128"/>
    </font>
    <font>
      <sz val="10"/>
      <color rgb="FF000000"/>
      <name val="Meiryo UI"/>
      <family val="3"/>
      <charset val="128"/>
    </font>
    <font>
      <sz val="10"/>
      <color rgb="FFFF0000"/>
      <name val="Meiryo UI"/>
      <family val="3"/>
      <charset val="128"/>
    </font>
    <font>
      <sz val="10"/>
      <name val="Meiryo UI"/>
      <family val="3"/>
      <charset val="128"/>
    </font>
    <font>
      <u/>
      <sz val="10"/>
      <color theme="10"/>
      <name val="ＭＳ ゴシック"/>
      <family val="2"/>
      <charset val="128"/>
    </font>
    <font>
      <sz val="11"/>
      <name val="ＭＳ Ｐゴシック"/>
      <family val="3"/>
      <charset val="128"/>
    </font>
    <font>
      <sz val="22"/>
      <name val="ＭＳ Ｐゴシック"/>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9D1FA"/>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12" fillId="0" borderId="0" applyNumberFormat="0" applyFill="0" applyBorder="0" applyAlignment="0" applyProtection="0">
      <alignment vertical="center"/>
    </xf>
    <xf numFmtId="0" fontId="13" fillId="0" borderId="0">
      <alignment vertical="center"/>
    </xf>
  </cellStyleXfs>
  <cellXfs count="85">
    <xf numFmtId="0" fontId="0" fillId="0" borderId="0" xfId="0">
      <alignment vertical="center"/>
    </xf>
    <xf numFmtId="0" fontId="2" fillId="0" borderId="3" xfId="0" applyFont="1" applyBorder="1" applyAlignment="1">
      <alignment horizontal="center" vertical="center"/>
    </xf>
    <xf numFmtId="0" fontId="2" fillId="0" borderId="0" xfId="0" applyFo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lignment vertical="center"/>
    </xf>
    <xf numFmtId="176" fontId="2" fillId="0" borderId="1" xfId="0" applyNumberFormat="1" applyFont="1" applyBorder="1" applyAlignment="1">
      <alignment horizontal="center" vertical="center"/>
    </xf>
    <xf numFmtId="176" fontId="2" fillId="0" borderId="1" xfId="0" applyNumberFormat="1" applyFont="1" applyBorder="1" applyAlignment="1">
      <alignment horizontal="center" vertical="center" wrapText="1"/>
    </xf>
    <xf numFmtId="176" fontId="2" fillId="0" borderId="1" xfId="0" applyNumberFormat="1" applyFont="1" applyBorder="1" applyAlignment="1">
      <alignment vertical="center" wrapText="1"/>
    </xf>
    <xf numFmtId="176" fontId="2" fillId="0" borderId="1" xfId="0" applyNumberFormat="1" applyFont="1" applyBorder="1">
      <alignment vertical="center"/>
    </xf>
    <xf numFmtId="176" fontId="2" fillId="0" borderId="1" xfId="0" quotePrefix="1" applyNumberFormat="1" applyFont="1" applyBorder="1">
      <alignment vertical="center"/>
    </xf>
    <xf numFmtId="0" fontId="2" fillId="0" borderId="0" xfId="0" applyFont="1" applyBorder="1">
      <alignment vertical="center"/>
    </xf>
    <xf numFmtId="176" fontId="2" fillId="0" borderId="0" xfId="0" quotePrefix="1" applyNumberFormat="1" applyFont="1">
      <alignment vertical="center"/>
    </xf>
    <xf numFmtId="176" fontId="2" fillId="0" borderId="1" xfId="0" quotePrefix="1" applyNumberFormat="1" applyFont="1" applyBorder="1" applyAlignment="1">
      <alignment horizontal="center" vertical="center"/>
    </xf>
    <xf numFmtId="0" fontId="2" fillId="0" borderId="7" xfId="0" applyFont="1" applyBorder="1">
      <alignment vertical="center"/>
    </xf>
    <xf numFmtId="176" fontId="2" fillId="0" borderId="7" xfId="0" quotePrefix="1" applyNumberFormat="1" applyFont="1" applyBorder="1" applyAlignment="1">
      <alignment horizontal="center" vertical="center"/>
    </xf>
    <xf numFmtId="176" fontId="2" fillId="0" borderId="7" xfId="0" applyNumberFormat="1" applyFont="1" applyBorder="1" applyAlignment="1">
      <alignment horizontal="center" vertical="center" wrapText="1"/>
    </xf>
    <xf numFmtId="176" fontId="2" fillId="0" borderId="7" xfId="0" applyNumberFormat="1" applyFont="1" applyBorder="1" applyAlignment="1">
      <alignment horizontal="center" vertical="center"/>
    </xf>
    <xf numFmtId="0" fontId="2" fillId="0" borderId="7" xfId="0" applyFont="1" applyBorder="1" applyAlignment="1">
      <alignment horizontal="center" vertical="center"/>
    </xf>
    <xf numFmtId="0" fontId="2" fillId="0" borderId="1" xfId="0" applyFont="1" applyFill="1" applyBorder="1">
      <alignment vertical="center"/>
    </xf>
    <xf numFmtId="176" fontId="2" fillId="0" borderId="0" xfId="0" applyNumberFormat="1" applyFont="1">
      <alignment vertical="center"/>
    </xf>
    <xf numFmtId="176" fontId="2" fillId="0" borderId="0" xfId="0" applyNumberFormat="1" applyFont="1" applyAlignment="1">
      <alignment vertical="center" wrapText="1"/>
    </xf>
    <xf numFmtId="176" fontId="2" fillId="0" borderId="0" xfId="0" applyNumberFormat="1" applyFont="1" applyAlignment="1">
      <alignment horizontal="center" vertical="center" wrapText="1"/>
    </xf>
    <xf numFmtId="0" fontId="3" fillId="0" borderId="1" xfId="0" applyFont="1" applyBorder="1">
      <alignment vertical="center"/>
    </xf>
    <xf numFmtId="0" fontId="2" fillId="2" borderId="1" xfId="0" applyFont="1" applyFill="1" applyBorder="1">
      <alignment vertical="center"/>
    </xf>
    <xf numFmtId="0" fontId="2" fillId="2" borderId="0" xfId="0" applyFont="1" applyFill="1" applyBorder="1">
      <alignment vertical="center"/>
    </xf>
    <xf numFmtId="0" fontId="4"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horizontal="left" vertical="center" indent="1"/>
    </xf>
    <xf numFmtId="0" fontId="7" fillId="0" borderId="0" xfId="0" applyFont="1" applyAlignment="1">
      <alignment horizontal="left" vertical="center" indent="1"/>
    </xf>
    <xf numFmtId="0" fontId="8" fillId="0" borderId="0" xfId="0" applyFont="1" applyAlignment="1">
      <alignment horizontal="left" vertical="center" indent="1"/>
    </xf>
    <xf numFmtId="0" fontId="10" fillId="0" borderId="0" xfId="0" applyFont="1">
      <alignment vertical="center"/>
    </xf>
    <xf numFmtId="0" fontId="9" fillId="0" borderId="1" xfId="0" applyFont="1" applyBorder="1" applyAlignment="1">
      <alignment vertical="center" wrapText="1"/>
    </xf>
    <xf numFmtId="0" fontId="2" fillId="0" borderId="1" xfId="0" applyFont="1" applyBorder="1" applyAlignment="1">
      <alignment vertical="center" wrapText="1"/>
    </xf>
    <xf numFmtId="0" fontId="10" fillId="0" borderId="1" xfId="0" applyFont="1" applyBorder="1">
      <alignment vertical="center"/>
    </xf>
    <xf numFmtId="0" fontId="9" fillId="0" borderId="1" xfId="0" applyFont="1" applyBorder="1" applyAlignment="1">
      <alignment vertical="center"/>
    </xf>
    <xf numFmtId="0" fontId="10" fillId="0" borderId="1" xfId="0" applyFont="1" applyBorder="1" applyAlignment="1">
      <alignment vertical="center" wrapText="1"/>
    </xf>
    <xf numFmtId="0" fontId="10" fillId="0" borderId="1" xfId="0" applyFont="1" applyFill="1" applyBorder="1">
      <alignment vertical="center"/>
    </xf>
    <xf numFmtId="0" fontId="14" fillId="0" borderId="1" xfId="2" applyFont="1" applyBorder="1" applyAlignment="1">
      <alignment horizontal="center" vertical="center"/>
    </xf>
    <xf numFmtId="0" fontId="11" fillId="0" borderId="1" xfId="0" applyFont="1" applyBorder="1" applyAlignment="1">
      <alignment vertical="center" wrapText="1"/>
    </xf>
    <xf numFmtId="0" fontId="10" fillId="0" borderId="1" xfId="0" applyFont="1" applyBorder="1" applyAlignment="1">
      <alignment vertical="top" wrapText="1"/>
    </xf>
    <xf numFmtId="0" fontId="14" fillId="0" borderId="1" xfId="2" applyFont="1" applyBorder="1" applyAlignment="1">
      <alignment horizontal="center" vertical="top"/>
    </xf>
    <xf numFmtId="0" fontId="10" fillId="0" borderId="0" xfId="0" applyFont="1" applyAlignment="1">
      <alignment vertical="top"/>
    </xf>
    <xf numFmtId="0" fontId="11" fillId="0" borderId="1" xfId="0" applyFont="1" applyBorder="1" applyAlignment="1">
      <alignment vertical="top"/>
    </xf>
    <xf numFmtId="0" fontId="10" fillId="0" borderId="1" xfId="0" applyFont="1" applyBorder="1" applyAlignment="1">
      <alignment vertical="top"/>
    </xf>
    <xf numFmtId="0" fontId="12" fillId="0" borderId="1" xfId="1" applyBorder="1">
      <alignment vertical="center"/>
    </xf>
    <xf numFmtId="0" fontId="2" fillId="3" borderId="1" xfId="0" applyFont="1" applyFill="1" applyBorder="1">
      <alignment vertical="center"/>
    </xf>
    <xf numFmtId="0" fontId="11" fillId="0" borderId="1" xfId="0" applyFont="1" applyBorder="1">
      <alignment vertical="center"/>
    </xf>
    <xf numFmtId="0" fontId="2" fillId="4" borderId="1" xfId="0" applyFont="1" applyFill="1" applyBorder="1">
      <alignment vertical="center"/>
    </xf>
    <xf numFmtId="0" fontId="2" fillId="5" borderId="1" xfId="0" applyFont="1" applyFill="1" applyBorder="1">
      <alignment vertical="center"/>
    </xf>
    <xf numFmtId="0" fontId="2" fillId="6" borderId="1" xfId="0" applyFont="1" applyFill="1" applyBorder="1" applyAlignment="1">
      <alignment vertical="center" wrapText="1"/>
    </xf>
    <xf numFmtId="0" fontId="10" fillId="0" borderId="1" xfId="0" applyFont="1" applyBorder="1" applyAlignment="1">
      <alignment vertical="center"/>
    </xf>
    <xf numFmtId="0" fontId="10"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vertical="center"/>
    </xf>
    <xf numFmtId="0" fontId="2" fillId="0" borderId="0" xfId="0" applyFont="1" applyBorder="1" applyAlignment="1">
      <alignment vertical="center"/>
    </xf>
    <xf numFmtId="0" fontId="2" fillId="0" borderId="6" xfId="0" applyFont="1" applyBorder="1" applyAlignment="1">
      <alignment vertical="center"/>
    </xf>
    <xf numFmtId="176"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2" fillId="0" borderId="7" xfId="0" applyFont="1" applyBorder="1" applyAlignment="1">
      <alignment vertical="center"/>
    </xf>
    <xf numFmtId="0" fontId="2" fillId="0" borderId="4" xfId="0" applyFont="1" applyBorder="1" applyAlignment="1">
      <alignment vertical="center"/>
    </xf>
    <xf numFmtId="0" fontId="2" fillId="0" borderId="8" xfId="0" applyFont="1" applyBorder="1" applyAlignment="1">
      <alignment vertical="center"/>
    </xf>
    <xf numFmtId="0" fontId="2" fillId="2" borderId="1" xfId="0" applyFont="1" applyFill="1" applyBorder="1" applyAlignment="1">
      <alignment vertical="center"/>
    </xf>
    <xf numFmtId="0" fontId="2" fillId="0" borderId="1" xfId="0" applyFont="1" applyBorder="1" applyAlignment="1">
      <alignment vertical="center"/>
    </xf>
    <xf numFmtId="0" fontId="2" fillId="2" borderId="7" xfId="0" applyFont="1" applyFill="1" applyBorder="1" applyAlignment="1">
      <alignment vertical="center"/>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Fill="1" applyBorder="1" applyAlignment="1">
      <alignment vertical="center" wrapText="1"/>
    </xf>
    <xf numFmtId="0" fontId="2" fillId="0" borderId="0" xfId="0" applyFont="1" applyAlignment="1">
      <alignment vertical="center" wrapText="1"/>
    </xf>
    <xf numFmtId="0" fontId="12" fillId="0" borderId="1" xfId="1" applyBorder="1" applyAlignment="1">
      <alignment horizontal="left" vertical="center" wrapText="1"/>
    </xf>
    <xf numFmtId="0" fontId="12" fillId="0" borderId="1" xfId="1" applyBorder="1" applyAlignment="1">
      <alignment horizontal="left" vertical="top" wrapText="1"/>
    </xf>
    <xf numFmtId="0" fontId="10" fillId="0" borderId="1"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10" fillId="0" borderId="1" xfId="0" applyFont="1" applyBorder="1" applyAlignment="1">
      <alignment horizontal="right" vertical="center"/>
    </xf>
    <xf numFmtId="0" fontId="2" fillId="0" borderId="0" xfId="0" applyFont="1" applyAlignment="1">
      <alignment horizontal="right" vertical="center"/>
    </xf>
  </cellXfs>
  <cellStyles count="3">
    <cellStyle name="ハイパーリンク" xfId="1" builtinId="8"/>
    <cellStyle name="標準" xfId="0" builtinId="0"/>
    <cellStyle name="標準 2_1408執行状況報告" xfId="2" xr:uid="{0A206BFE-17D9-4E90-B860-ED5163061ABB}"/>
  </cellStyles>
  <dxfs count="0"/>
  <tableStyles count="0" defaultTableStyle="TableStyleMedium2" defaultPivotStyle="PivotStyleLight16"/>
  <colors>
    <mruColors>
      <color rgb="FFF9D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8</xdr:row>
      <xdr:rowOff>47625</xdr:rowOff>
    </xdr:from>
    <xdr:to>
      <xdr:col>1</xdr:col>
      <xdr:colOff>154305</xdr:colOff>
      <xdr:row>8</xdr:row>
      <xdr:rowOff>192405</xdr:rowOff>
    </xdr:to>
    <xdr:pic>
      <xdr:nvPicPr>
        <xdr:cNvPr id="2" name="図 1" descr="タスク">
          <a:extLst>
            <a:ext uri="{FF2B5EF4-FFF2-40B4-BE49-F238E27FC236}">
              <a16:creationId xmlns:a16="http://schemas.microsoft.com/office/drawing/2014/main" id="{E0C60AB6-20A3-44DB-48A8-149A281E71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345" y="1343025"/>
          <a:ext cx="146685"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xdr:colOff>
      <xdr:row>9</xdr:row>
      <xdr:rowOff>24765</xdr:rowOff>
    </xdr:from>
    <xdr:to>
      <xdr:col>1</xdr:col>
      <xdr:colOff>171450</xdr:colOff>
      <xdr:row>9</xdr:row>
      <xdr:rowOff>173355</xdr:rowOff>
    </xdr:to>
    <xdr:pic>
      <xdr:nvPicPr>
        <xdr:cNvPr id="3" name="図 2" descr="タスク">
          <a:extLst>
            <a:ext uri="{FF2B5EF4-FFF2-40B4-BE49-F238E27FC236}">
              <a16:creationId xmlns:a16="http://schemas.microsoft.com/office/drawing/2014/main" id="{78BB16A7-061E-00E1-E751-9E13071A59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 y="1548765"/>
          <a:ext cx="16002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152400</xdr:colOff>
      <xdr:row>10</xdr:row>
      <xdr:rowOff>152400</xdr:rowOff>
    </xdr:to>
    <xdr:pic>
      <xdr:nvPicPr>
        <xdr:cNvPr id="4" name="図 3" descr="タスク">
          <a:extLst>
            <a:ext uri="{FF2B5EF4-FFF2-40B4-BE49-F238E27FC236}">
              <a16:creationId xmlns:a16="http://schemas.microsoft.com/office/drawing/2014/main" id="{D226C2E2-927B-E4EB-DBF4-ACFCAD8A9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5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152400</xdr:colOff>
      <xdr:row>11</xdr:row>
      <xdr:rowOff>152400</xdr:rowOff>
    </xdr:to>
    <xdr:pic>
      <xdr:nvPicPr>
        <xdr:cNvPr id="5" name="図 4" descr="タスク">
          <a:extLst>
            <a:ext uri="{FF2B5EF4-FFF2-40B4-BE49-F238E27FC236}">
              <a16:creationId xmlns:a16="http://schemas.microsoft.com/office/drawing/2014/main" id="{6CEF39F7-362B-AE46-3E3F-91481DE89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81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xdr:row>
      <xdr:rowOff>0</xdr:rowOff>
    </xdr:from>
    <xdr:to>
      <xdr:col>1</xdr:col>
      <xdr:colOff>152400</xdr:colOff>
      <xdr:row>12</xdr:row>
      <xdr:rowOff>152400</xdr:rowOff>
    </xdr:to>
    <xdr:pic>
      <xdr:nvPicPr>
        <xdr:cNvPr id="6" name="図 5" descr="タスク">
          <a:extLst>
            <a:ext uri="{FF2B5EF4-FFF2-40B4-BE49-F238E27FC236}">
              <a16:creationId xmlns:a16="http://schemas.microsoft.com/office/drawing/2014/main" id="{43F71A1D-C214-0CFD-634F-7D1DD21F8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0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152400</xdr:colOff>
      <xdr:row>13</xdr:row>
      <xdr:rowOff>152400</xdr:rowOff>
    </xdr:to>
    <xdr:pic>
      <xdr:nvPicPr>
        <xdr:cNvPr id="7" name="図 6" descr="タスク">
          <a:extLst>
            <a:ext uri="{FF2B5EF4-FFF2-40B4-BE49-F238E27FC236}">
              <a16:creationId xmlns:a16="http://schemas.microsoft.com/office/drawing/2014/main" id="{8ADA77E8-6792-2755-A934-19FBC4F1A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152400</xdr:colOff>
      <xdr:row>14</xdr:row>
      <xdr:rowOff>152400</xdr:rowOff>
    </xdr:to>
    <xdr:pic>
      <xdr:nvPicPr>
        <xdr:cNvPr id="8" name="図 7" descr="タスク">
          <a:extLst>
            <a:ext uri="{FF2B5EF4-FFF2-40B4-BE49-F238E27FC236}">
              <a16:creationId xmlns:a16="http://schemas.microsoft.com/office/drawing/2014/main" id="{D11D3E2C-D44E-EAD9-CEC2-96DB6C5592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152400</xdr:colOff>
      <xdr:row>15</xdr:row>
      <xdr:rowOff>152400</xdr:rowOff>
    </xdr:to>
    <xdr:pic>
      <xdr:nvPicPr>
        <xdr:cNvPr id="9" name="図 8" descr="タスク">
          <a:extLst>
            <a:ext uri="{FF2B5EF4-FFF2-40B4-BE49-F238E27FC236}">
              <a16:creationId xmlns:a16="http://schemas.microsoft.com/office/drawing/2014/main" id="{744E2E64-F900-9AF4-ACD2-D02C8611E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95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1</xdr:col>
      <xdr:colOff>152400</xdr:colOff>
      <xdr:row>16</xdr:row>
      <xdr:rowOff>152400</xdr:rowOff>
    </xdr:to>
    <xdr:pic>
      <xdr:nvPicPr>
        <xdr:cNvPr id="10" name="図 9" descr="タスク">
          <a:extLst>
            <a:ext uri="{FF2B5EF4-FFF2-40B4-BE49-F238E27FC236}">
              <a16:creationId xmlns:a16="http://schemas.microsoft.com/office/drawing/2014/main" id="{27EF6C56-F56A-25F7-2DC9-71A5C01CE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2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152400</xdr:colOff>
      <xdr:row>21</xdr:row>
      <xdr:rowOff>152400</xdr:rowOff>
    </xdr:to>
    <xdr:pic>
      <xdr:nvPicPr>
        <xdr:cNvPr id="11" name="図 10" descr="タスク">
          <a:extLst>
            <a:ext uri="{FF2B5EF4-FFF2-40B4-BE49-F238E27FC236}">
              <a16:creationId xmlns:a16="http://schemas.microsoft.com/office/drawing/2014/main" id="{44BC03C3-1C16-951E-D31E-FDB1A92A5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67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xdr:row>
      <xdr:rowOff>0</xdr:rowOff>
    </xdr:from>
    <xdr:to>
      <xdr:col>1</xdr:col>
      <xdr:colOff>152400</xdr:colOff>
      <xdr:row>22</xdr:row>
      <xdr:rowOff>152400</xdr:rowOff>
    </xdr:to>
    <xdr:pic>
      <xdr:nvPicPr>
        <xdr:cNvPr id="12" name="図 11" descr="タスク">
          <a:extLst>
            <a:ext uri="{FF2B5EF4-FFF2-40B4-BE49-F238E27FC236}">
              <a16:creationId xmlns:a16="http://schemas.microsoft.com/office/drawing/2014/main" id="{6CE29ECD-346F-3B49-35B9-6CCB67551A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9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152400</xdr:colOff>
      <xdr:row>23</xdr:row>
      <xdr:rowOff>152400</xdr:rowOff>
    </xdr:to>
    <xdr:pic>
      <xdr:nvPicPr>
        <xdr:cNvPr id="13" name="図 12" descr="タスク">
          <a:extLst>
            <a:ext uri="{FF2B5EF4-FFF2-40B4-BE49-F238E27FC236}">
              <a16:creationId xmlns:a16="http://schemas.microsoft.com/office/drawing/2014/main" id="{D515EA2A-76C7-A8D7-03C1-4DE84CADF3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152400</xdr:colOff>
      <xdr:row>24</xdr:row>
      <xdr:rowOff>152400</xdr:rowOff>
    </xdr:to>
    <xdr:pic>
      <xdr:nvPicPr>
        <xdr:cNvPr id="14" name="図 13" descr="タスク">
          <a:extLst>
            <a:ext uri="{FF2B5EF4-FFF2-40B4-BE49-F238E27FC236}">
              <a16:creationId xmlns:a16="http://schemas.microsoft.com/office/drawing/2014/main" id="{9CEE6458-AC49-D64A-15FD-B6208CA17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953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xdr:row>
      <xdr:rowOff>0</xdr:rowOff>
    </xdr:from>
    <xdr:to>
      <xdr:col>1</xdr:col>
      <xdr:colOff>152400</xdr:colOff>
      <xdr:row>25</xdr:row>
      <xdr:rowOff>152400</xdr:rowOff>
    </xdr:to>
    <xdr:pic>
      <xdr:nvPicPr>
        <xdr:cNvPr id="15" name="図 14" descr="タスク">
          <a:extLst>
            <a:ext uri="{FF2B5EF4-FFF2-40B4-BE49-F238E27FC236}">
              <a16:creationId xmlns:a16="http://schemas.microsoft.com/office/drawing/2014/main" id="{E2CAFC98-1CBE-A287-5461-F2736C0E9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8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xdr:row>
      <xdr:rowOff>0</xdr:rowOff>
    </xdr:from>
    <xdr:to>
      <xdr:col>1</xdr:col>
      <xdr:colOff>152400</xdr:colOff>
      <xdr:row>26</xdr:row>
      <xdr:rowOff>152400</xdr:rowOff>
    </xdr:to>
    <xdr:pic>
      <xdr:nvPicPr>
        <xdr:cNvPr id="16" name="図 15" descr="タスク">
          <a:extLst>
            <a:ext uri="{FF2B5EF4-FFF2-40B4-BE49-F238E27FC236}">
              <a16:creationId xmlns:a16="http://schemas.microsoft.com/office/drawing/2014/main" id="{E64F5B15-0DD9-F163-3D3B-336DE8326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410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xdr:row>
      <xdr:rowOff>0</xdr:rowOff>
    </xdr:from>
    <xdr:to>
      <xdr:col>1</xdr:col>
      <xdr:colOff>152400</xdr:colOff>
      <xdr:row>30</xdr:row>
      <xdr:rowOff>152400</xdr:rowOff>
    </xdr:to>
    <xdr:pic>
      <xdr:nvPicPr>
        <xdr:cNvPr id="17" name="図 16" descr="タスク">
          <a:extLst>
            <a:ext uri="{FF2B5EF4-FFF2-40B4-BE49-F238E27FC236}">
              <a16:creationId xmlns:a16="http://schemas.microsoft.com/office/drawing/2014/main" id="{ABB00639-F895-ECEC-BF13-C01E3CDC0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324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xdr:row>
      <xdr:rowOff>0</xdr:rowOff>
    </xdr:from>
    <xdr:to>
      <xdr:col>1</xdr:col>
      <xdr:colOff>152400</xdr:colOff>
      <xdr:row>31</xdr:row>
      <xdr:rowOff>152400</xdr:rowOff>
    </xdr:to>
    <xdr:pic>
      <xdr:nvPicPr>
        <xdr:cNvPr id="18" name="図 17" descr="タスク">
          <a:extLst>
            <a:ext uri="{FF2B5EF4-FFF2-40B4-BE49-F238E27FC236}">
              <a16:creationId xmlns:a16="http://schemas.microsoft.com/office/drawing/2014/main" id="{0726E9F9-FB89-98D6-37F6-ECDF58A45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53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xdr:row>
      <xdr:rowOff>0</xdr:rowOff>
    </xdr:from>
    <xdr:to>
      <xdr:col>1</xdr:col>
      <xdr:colOff>152400</xdr:colOff>
      <xdr:row>32</xdr:row>
      <xdr:rowOff>152400</xdr:rowOff>
    </xdr:to>
    <xdr:pic>
      <xdr:nvPicPr>
        <xdr:cNvPr id="19" name="図 18" descr="タスク">
          <a:extLst>
            <a:ext uri="{FF2B5EF4-FFF2-40B4-BE49-F238E27FC236}">
              <a16:creationId xmlns:a16="http://schemas.microsoft.com/office/drawing/2014/main" id="{4A67B55E-0E5A-04B5-F83E-42799F3A4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781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xdr:row>
      <xdr:rowOff>0</xdr:rowOff>
    </xdr:from>
    <xdr:to>
      <xdr:col>1</xdr:col>
      <xdr:colOff>152400</xdr:colOff>
      <xdr:row>37</xdr:row>
      <xdr:rowOff>152400</xdr:rowOff>
    </xdr:to>
    <xdr:pic>
      <xdr:nvPicPr>
        <xdr:cNvPr id="20" name="図 19" descr="タスク">
          <a:extLst>
            <a:ext uri="{FF2B5EF4-FFF2-40B4-BE49-F238E27FC236}">
              <a16:creationId xmlns:a16="http://schemas.microsoft.com/office/drawing/2014/main" id="{C3841702-25AD-58D7-13D4-11708C3D0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924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1</xdr:col>
      <xdr:colOff>152400</xdr:colOff>
      <xdr:row>38</xdr:row>
      <xdr:rowOff>152400</xdr:rowOff>
    </xdr:to>
    <xdr:pic>
      <xdr:nvPicPr>
        <xdr:cNvPr id="21" name="図 20" descr="タスク">
          <a:extLst>
            <a:ext uri="{FF2B5EF4-FFF2-40B4-BE49-F238E27FC236}">
              <a16:creationId xmlns:a16="http://schemas.microsoft.com/office/drawing/2014/main" id="{801F35D5-7DCB-31E9-3241-424C653C4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153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39</xdr:row>
      <xdr:rowOff>0</xdr:rowOff>
    </xdr:from>
    <xdr:to>
      <xdr:col>1</xdr:col>
      <xdr:colOff>152400</xdr:colOff>
      <xdr:row>39</xdr:row>
      <xdr:rowOff>152400</xdr:rowOff>
    </xdr:to>
    <xdr:pic>
      <xdr:nvPicPr>
        <xdr:cNvPr id="22" name="図 21" descr="タスク">
          <a:extLst>
            <a:ext uri="{FF2B5EF4-FFF2-40B4-BE49-F238E27FC236}">
              <a16:creationId xmlns:a16="http://schemas.microsoft.com/office/drawing/2014/main" id="{106E0EEB-5E33-3EB2-9E50-35A38780F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382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xdr:row>
      <xdr:rowOff>0</xdr:rowOff>
    </xdr:from>
    <xdr:to>
      <xdr:col>1</xdr:col>
      <xdr:colOff>152400</xdr:colOff>
      <xdr:row>40</xdr:row>
      <xdr:rowOff>152400</xdr:rowOff>
    </xdr:to>
    <xdr:pic>
      <xdr:nvPicPr>
        <xdr:cNvPr id="23" name="図 22" descr="タスク">
          <a:extLst>
            <a:ext uri="{FF2B5EF4-FFF2-40B4-BE49-F238E27FC236}">
              <a16:creationId xmlns:a16="http://schemas.microsoft.com/office/drawing/2014/main" id="{C9FBD1CA-FDFE-C40A-3199-0ADEDBBACC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610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152400</xdr:colOff>
      <xdr:row>41</xdr:row>
      <xdr:rowOff>152400</xdr:rowOff>
    </xdr:to>
    <xdr:pic>
      <xdr:nvPicPr>
        <xdr:cNvPr id="24" name="図 23" descr="タスク">
          <a:extLst>
            <a:ext uri="{FF2B5EF4-FFF2-40B4-BE49-F238E27FC236}">
              <a16:creationId xmlns:a16="http://schemas.microsoft.com/office/drawing/2014/main" id="{D545400C-4039-FB5E-E621-A3E7D62AC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83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152400</xdr:colOff>
      <xdr:row>45</xdr:row>
      <xdr:rowOff>152400</xdr:rowOff>
    </xdr:to>
    <xdr:pic>
      <xdr:nvPicPr>
        <xdr:cNvPr id="25" name="図 24" descr="タスク">
          <a:extLst>
            <a:ext uri="{FF2B5EF4-FFF2-40B4-BE49-F238E27FC236}">
              <a16:creationId xmlns:a16="http://schemas.microsoft.com/office/drawing/2014/main" id="{B18B3C10-DA79-1838-C26F-AB03FDE3B1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75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xdr:row>
      <xdr:rowOff>0</xdr:rowOff>
    </xdr:from>
    <xdr:to>
      <xdr:col>1</xdr:col>
      <xdr:colOff>152400</xdr:colOff>
      <xdr:row>46</xdr:row>
      <xdr:rowOff>152400</xdr:rowOff>
    </xdr:to>
    <xdr:pic>
      <xdr:nvPicPr>
        <xdr:cNvPr id="26" name="図 25" descr="タスク">
          <a:extLst>
            <a:ext uri="{FF2B5EF4-FFF2-40B4-BE49-F238E27FC236}">
              <a16:creationId xmlns:a16="http://schemas.microsoft.com/office/drawing/2014/main" id="{383E72CB-AD97-6075-14E6-4190912A5E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98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152400</xdr:colOff>
      <xdr:row>47</xdr:row>
      <xdr:rowOff>152400</xdr:rowOff>
    </xdr:to>
    <xdr:pic>
      <xdr:nvPicPr>
        <xdr:cNvPr id="27" name="図 26" descr="タスク">
          <a:extLst>
            <a:ext uri="{FF2B5EF4-FFF2-40B4-BE49-F238E27FC236}">
              <a16:creationId xmlns:a16="http://schemas.microsoft.com/office/drawing/2014/main" id="{FA26F0C6-4DCB-2095-3667-8289AAA91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210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26</xdr:row>
      <xdr:rowOff>0</xdr:rowOff>
    </xdr:from>
    <xdr:ext cx="152400" cy="152400"/>
    <xdr:pic>
      <xdr:nvPicPr>
        <xdr:cNvPr id="28" name="図 27" descr="タスク">
          <a:extLst>
            <a:ext uri="{FF2B5EF4-FFF2-40B4-BE49-F238E27FC236}">
              <a16:creationId xmlns:a16="http://schemas.microsoft.com/office/drawing/2014/main" id="{EB5E7282-9F84-4FCC-AF43-44F8CAC95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312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32</xdr:row>
      <xdr:rowOff>0</xdr:rowOff>
    </xdr:from>
    <xdr:ext cx="152400" cy="152400"/>
    <xdr:pic>
      <xdr:nvPicPr>
        <xdr:cNvPr id="29" name="図 28" descr="タスク">
          <a:extLst>
            <a:ext uri="{FF2B5EF4-FFF2-40B4-BE49-F238E27FC236}">
              <a16:creationId xmlns:a16="http://schemas.microsoft.com/office/drawing/2014/main" id="{449E8326-6BCA-42CA-B036-0E0307C9C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312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39</xdr:row>
      <xdr:rowOff>0</xdr:rowOff>
    </xdr:from>
    <xdr:ext cx="152400" cy="152400"/>
    <xdr:pic>
      <xdr:nvPicPr>
        <xdr:cNvPr id="30" name="図 29" descr="タスク">
          <a:extLst>
            <a:ext uri="{FF2B5EF4-FFF2-40B4-BE49-F238E27FC236}">
              <a16:creationId xmlns:a16="http://schemas.microsoft.com/office/drawing/2014/main" id="{BE9F3C10-F772-4C71-AA12-80D76DA323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312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47</xdr:row>
      <xdr:rowOff>0</xdr:rowOff>
    </xdr:from>
    <xdr:ext cx="152400" cy="152400"/>
    <xdr:pic>
      <xdr:nvPicPr>
        <xdr:cNvPr id="31" name="図 30" descr="タスク">
          <a:extLst>
            <a:ext uri="{FF2B5EF4-FFF2-40B4-BE49-F238E27FC236}">
              <a16:creationId xmlns:a16="http://schemas.microsoft.com/office/drawing/2014/main" id="{EA0514BA-F094-4076-9608-BA8649214C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3124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53</xdr:row>
      <xdr:rowOff>0</xdr:rowOff>
    </xdr:from>
    <xdr:to>
      <xdr:col>1</xdr:col>
      <xdr:colOff>152400</xdr:colOff>
      <xdr:row>53</xdr:row>
      <xdr:rowOff>152400</xdr:rowOff>
    </xdr:to>
    <xdr:pic>
      <xdr:nvPicPr>
        <xdr:cNvPr id="32" name="図 31" descr="タスク">
          <a:extLst>
            <a:ext uri="{FF2B5EF4-FFF2-40B4-BE49-F238E27FC236}">
              <a16:creationId xmlns:a16="http://schemas.microsoft.com/office/drawing/2014/main" id="{D04F5E0F-7EC4-B75F-FF82-2EBC395D0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 y="1112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152400</xdr:colOff>
      <xdr:row>54</xdr:row>
      <xdr:rowOff>152400</xdr:rowOff>
    </xdr:to>
    <xdr:pic>
      <xdr:nvPicPr>
        <xdr:cNvPr id="33" name="図 32" descr="タスク">
          <a:extLst>
            <a:ext uri="{FF2B5EF4-FFF2-40B4-BE49-F238E27FC236}">
              <a16:creationId xmlns:a16="http://schemas.microsoft.com/office/drawing/2014/main" id="{0C94493B-3108-07E5-4A6D-C717A3F1D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 y="1135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0</xdr:rowOff>
    </xdr:from>
    <xdr:to>
      <xdr:col>1</xdr:col>
      <xdr:colOff>152400</xdr:colOff>
      <xdr:row>55</xdr:row>
      <xdr:rowOff>152400</xdr:rowOff>
    </xdr:to>
    <xdr:pic>
      <xdr:nvPicPr>
        <xdr:cNvPr id="34" name="図 33" descr="タスク">
          <a:extLst>
            <a:ext uri="{FF2B5EF4-FFF2-40B4-BE49-F238E27FC236}">
              <a16:creationId xmlns:a16="http://schemas.microsoft.com/office/drawing/2014/main" id="{D0D6C4C4-5E15-645C-F8DA-64009ADA5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 y="11582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152400</xdr:colOff>
      <xdr:row>56</xdr:row>
      <xdr:rowOff>152400</xdr:rowOff>
    </xdr:to>
    <xdr:pic>
      <xdr:nvPicPr>
        <xdr:cNvPr id="35" name="図 34" descr="タスク">
          <a:extLst>
            <a:ext uri="{FF2B5EF4-FFF2-40B4-BE49-F238E27FC236}">
              <a16:creationId xmlns:a16="http://schemas.microsoft.com/office/drawing/2014/main" id="{E446A89C-217C-85F2-F932-E622C5BC4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 y="11811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152400</xdr:colOff>
      <xdr:row>57</xdr:row>
      <xdr:rowOff>152400</xdr:rowOff>
    </xdr:to>
    <xdr:pic>
      <xdr:nvPicPr>
        <xdr:cNvPr id="36" name="図 35" descr="タスク">
          <a:extLst>
            <a:ext uri="{FF2B5EF4-FFF2-40B4-BE49-F238E27FC236}">
              <a16:creationId xmlns:a16="http://schemas.microsoft.com/office/drawing/2014/main" id="{679923BE-5246-5A50-769D-ED6EF3F96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 y="1203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152400</xdr:colOff>
      <xdr:row>58</xdr:row>
      <xdr:rowOff>152400</xdr:rowOff>
    </xdr:to>
    <xdr:pic>
      <xdr:nvPicPr>
        <xdr:cNvPr id="37" name="図 36" descr="タスク">
          <a:extLst>
            <a:ext uri="{FF2B5EF4-FFF2-40B4-BE49-F238E27FC236}">
              <a16:creationId xmlns:a16="http://schemas.microsoft.com/office/drawing/2014/main" id="{7574AFFD-431E-42F7-EAA1-286E6A8EE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DXF&#22259;&#38754;&#12363;&#12425;&#12398;&#37096;&#21697;&#25277;&#20986;" TargetMode="External"/><Relationship Id="rId2" Type="http://schemas.openxmlformats.org/officeDocument/2006/relationships/hyperlink" Target="&#32013;&#20837;&#25351;&#31034;&#12450;&#12531;&#12510;&#12483;&#12481;/&#32013;&#20837;&#25351;&#31034;&#12450;&#12531;&#12510;&#12483;&#12481;_&#25163;&#38918;&#26360;.docx" TargetMode="External"/><Relationship Id="rId1" Type="http://schemas.openxmlformats.org/officeDocument/2006/relationships/hyperlink" Target="../&#12510;&#12491;&#12517;&#12450;&#12523;" TargetMode="External"/><Relationship Id="rId5" Type="http://schemas.openxmlformats.org/officeDocument/2006/relationships/hyperlink" Target="&#36865;&#20184;&#34920;&#20966;&#29702;/&#12510;&#12491;&#12517;&#12450;&#12523;_&#36865;&#20184;&#34920;&#20966;&#29702;.xlsx" TargetMode="External"/><Relationship Id="rId4" Type="http://schemas.openxmlformats.org/officeDocument/2006/relationships/hyperlink" Target="OBL_&#27083;&#25104;&#22793;&#26356;/&#25163;&#38918;&#26360;_OBL&#20181;&#25499;&#12426;&#12398;&#37096;&#21697;&#22793;&#26356;&#26041;&#27861;.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F60C-2F8D-4072-ACA5-7AED22FB0026}">
  <sheetPr codeName="Sheet3" filterMode="1"/>
  <dimension ref="A1:L38"/>
  <sheetViews>
    <sheetView tabSelected="1" zoomScale="85" zoomScaleNormal="85" workbookViewId="0">
      <pane xSplit="3" ySplit="1" topLeftCell="F6" activePane="bottomRight" state="frozen"/>
      <selection pane="topRight" activeCell="D1" sqref="D1"/>
      <selection pane="bottomLeft" activeCell="A2" sqref="A2"/>
      <selection pane="bottomRight" activeCell="N16" sqref="N16"/>
    </sheetView>
  </sheetViews>
  <sheetFormatPr defaultRowHeight="14.4"/>
  <cols>
    <col min="1" max="1" width="4" style="5" bestFit="1" customWidth="1"/>
    <col min="2" max="2" width="34.88671875" style="77" customWidth="1"/>
    <col min="3" max="3" width="57" style="77" customWidth="1"/>
    <col min="4" max="4" width="10.77734375" style="2" customWidth="1"/>
    <col min="5" max="5" width="22.5546875" style="81" customWidth="1"/>
    <col min="6" max="6" width="16.109375" style="5" bestFit="1" customWidth="1"/>
    <col min="7" max="7" width="41.33203125" style="2" customWidth="1"/>
    <col min="8" max="8" width="66.77734375" style="2" customWidth="1"/>
    <col min="9" max="9" width="22.33203125" style="2" customWidth="1"/>
    <col min="10" max="10" width="10.6640625" style="84" customWidth="1"/>
    <col min="11" max="11" width="11.77734375" style="84" customWidth="1"/>
    <col min="12" max="12" width="10.44140625" style="2" customWidth="1"/>
    <col min="13" max="16384" width="8.88671875" style="2"/>
  </cols>
  <sheetData>
    <row r="1" spans="1:12" s="73" customFormat="1" ht="28.8">
      <c r="A1" s="72" t="s">
        <v>125</v>
      </c>
      <c r="B1" s="72" t="s">
        <v>126</v>
      </c>
      <c r="C1" s="72" t="s">
        <v>127</v>
      </c>
      <c r="D1" s="72" t="s">
        <v>129</v>
      </c>
      <c r="E1" s="72" t="s">
        <v>6</v>
      </c>
      <c r="F1" s="72" t="s">
        <v>141</v>
      </c>
      <c r="G1" s="72" t="s">
        <v>49</v>
      </c>
      <c r="H1" s="72" t="s">
        <v>130</v>
      </c>
      <c r="I1" s="72" t="s">
        <v>164</v>
      </c>
      <c r="J1" s="82" t="s">
        <v>171</v>
      </c>
      <c r="K1" s="82" t="s">
        <v>172</v>
      </c>
      <c r="L1" s="82" t="s">
        <v>174</v>
      </c>
    </row>
    <row r="2" spans="1:12" ht="144" hidden="1">
      <c r="A2" s="55">
        <v>1</v>
      </c>
      <c r="B2" s="33" t="s">
        <v>104</v>
      </c>
      <c r="C2" s="34" t="s">
        <v>95</v>
      </c>
      <c r="D2" s="39">
        <v>4</v>
      </c>
      <c r="E2" s="6"/>
      <c r="F2" s="6"/>
      <c r="G2" s="6"/>
      <c r="H2" s="6"/>
      <c r="I2" s="6" t="s">
        <v>170</v>
      </c>
      <c r="J2" s="6">
        <v>150</v>
      </c>
      <c r="K2" s="6"/>
      <c r="L2" s="6">
        <f>J2*K2</f>
        <v>0</v>
      </c>
    </row>
    <row r="3" spans="1:12" ht="57.6" hidden="1">
      <c r="A3" s="55">
        <v>2</v>
      </c>
      <c r="B3" s="54" t="s">
        <v>96</v>
      </c>
      <c r="C3" s="34" t="s">
        <v>97</v>
      </c>
      <c r="D3" s="39">
        <v>4</v>
      </c>
      <c r="E3" s="6"/>
      <c r="F3" s="6"/>
      <c r="G3" s="6"/>
      <c r="H3" s="6"/>
      <c r="I3" s="6" t="s">
        <v>165</v>
      </c>
      <c r="J3" s="6">
        <v>15</v>
      </c>
      <c r="K3" s="6"/>
      <c r="L3" s="6">
        <f t="shared" ref="L3:L35" si="0">J3*K3</f>
        <v>0</v>
      </c>
    </row>
    <row r="4" spans="1:12" ht="25.8" hidden="1">
      <c r="A4" s="55">
        <v>3</v>
      </c>
      <c r="B4" s="54" t="s">
        <v>98</v>
      </c>
      <c r="C4" s="6" t="s">
        <v>99</v>
      </c>
      <c r="D4" s="39">
        <v>4</v>
      </c>
      <c r="E4" s="6"/>
      <c r="F4" s="6"/>
      <c r="G4" s="6"/>
      <c r="H4" s="6"/>
      <c r="I4" s="49" t="s">
        <v>168</v>
      </c>
      <c r="J4" s="6">
        <v>15</v>
      </c>
      <c r="K4" s="6"/>
      <c r="L4" s="6">
        <f t="shared" si="0"/>
        <v>0</v>
      </c>
    </row>
    <row r="5" spans="1:12" ht="25.8" hidden="1">
      <c r="A5" s="55">
        <v>4</v>
      </c>
      <c r="B5" s="54" t="s">
        <v>101</v>
      </c>
      <c r="C5" s="6" t="s">
        <v>102</v>
      </c>
      <c r="D5" s="39">
        <v>4</v>
      </c>
      <c r="E5" s="6"/>
      <c r="F5" s="6"/>
      <c r="G5" s="44" t="s">
        <v>143</v>
      </c>
      <c r="H5" s="6"/>
      <c r="I5" s="6" t="s">
        <v>165</v>
      </c>
      <c r="J5" s="6">
        <v>120</v>
      </c>
      <c r="K5" s="6"/>
      <c r="L5" s="6">
        <f t="shared" si="0"/>
        <v>0</v>
      </c>
    </row>
    <row r="6" spans="1:12" s="32" customFormat="1" ht="108">
      <c r="A6" s="53">
        <v>5</v>
      </c>
      <c r="B6" s="37" t="s">
        <v>103</v>
      </c>
      <c r="C6" s="37" t="s">
        <v>105</v>
      </c>
      <c r="D6" s="39">
        <v>2</v>
      </c>
      <c r="E6" s="78" t="s">
        <v>146</v>
      </c>
      <c r="F6" s="53" t="s">
        <v>151</v>
      </c>
      <c r="G6" s="35"/>
      <c r="H6" s="37" t="s">
        <v>153</v>
      </c>
      <c r="I6" s="47" t="s">
        <v>175</v>
      </c>
      <c r="J6" s="83">
        <v>90</v>
      </c>
      <c r="K6" s="83">
        <v>1</v>
      </c>
      <c r="L6" s="6">
        <f t="shared" si="0"/>
        <v>90</v>
      </c>
    </row>
    <row r="7" spans="1:12" ht="25.8" hidden="1">
      <c r="A7" s="55">
        <v>6</v>
      </c>
      <c r="B7" s="36" t="s">
        <v>74</v>
      </c>
      <c r="C7" s="6" t="s">
        <v>106</v>
      </c>
      <c r="D7" s="39">
        <v>4</v>
      </c>
      <c r="E7" s="6"/>
      <c r="F7" s="55" t="s">
        <v>163</v>
      </c>
      <c r="G7" s="6"/>
      <c r="H7" s="6"/>
      <c r="I7" s="49" t="s">
        <v>169</v>
      </c>
      <c r="J7" s="6">
        <v>10</v>
      </c>
      <c r="K7" s="6"/>
      <c r="L7" s="6">
        <f t="shared" si="0"/>
        <v>0</v>
      </c>
    </row>
    <row r="8" spans="1:12" ht="25.8" hidden="1">
      <c r="A8" s="55">
        <v>8</v>
      </c>
      <c r="B8" s="36" t="s">
        <v>76</v>
      </c>
      <c r="C8" s="6" t="s">
        <v>107</v>
      </c>
      <c r="D8" s="39">
        <v>4</v>
      </c>
      <c r="E8" s="6"/>
      <c r="F8" s="55" t="s">
        <v>163</v>
      </c>
      <c r="G8" s="6"/>
      <c r="H8" s="6"/>
      <c r="I8" s="6" t="s">
        <v>165</v>
      </c>
      <c r="J8" s="6">
        <v>25</v>
      </c>
      <c r="K8" s="6"/>
      <c r="L8" s="6">
        <f t="shared" si="0"/>
        <v>0</v>
      </c>
    </row>
    <row r="9" spans="1:12" ht="43.2" hidden="1">
      <c r="A9" s="55">
        <v>9</v>
      </c>
      <c r="B9" s="36" t="s">
        <v>77</v>
      </c>
      <c r="C9" s="34" t="s">
        <v>118</v>
      </c>
      <c r="D9" s="39">
        <v>4</v>
      </c>
      <c r="E9" s="6"/>
      <c r="F9" s="55" t="s">
        <v>163</v>
      </c>
      <c r="G9" s="6"/>
      <c r="H9" s="6"/>
      <c r="I9" s="6" t="s">
        <v>165</v>
      </c>
      <c r="J9" s="6">
        <v>50</v>
      </c>
      <c r="K9" s="6"/>
      <c r="L9" s="6">
        <f t="shared" si="0"/>
        <v>0</v>
      </c>
    </row>
    <row r="10" spans="1:12" ht="25.8" hidden="1">
      <c r="A10" s="55">
        <v>10</v>
      </c>
      <c r="B10" s="36" t="s">
        <v>80</v>
      </c>
      <c r="C10" s="6" t="s">
        <v>108</v>
      </c>
      <c r="D10" s="39">
        <v>4</v>
      </c>
      <c r="E10" s="6"/>
      <c r="F10" s="55" t="s">
        <v>163</v>
      </c>
      <c r="G10" s="6"/>
      <c r="H10" s="6"/>
      <c r="I10" s="6" t="s">
        <v>180</v>
      </c>
      <c r="J10" s="6">
        <v>240</v>
      </c>
      <c r="K10" s="6"/>
      <c r="L10" s="6">
        <f t="shared" si="0"/>
        <v>0</v>
      </c>
    </row>
    <row r="11" spans="1:12" ht="43.2" hidden="1">
      <c r="A11" s="55">
        <v>11</v>
      </c>
      <c r="B11" s="36" t="s">
        <v>116</v>
      </c>
      <c r="C11" s="34" t="s">
        <v>109</v>
      </c>
      <c r="D11" s="39">
        <v>4</v>
      </c>
      <c r="E11" s="6"/>
      <c r="F11" s="55" t="s">
        <v>163</v>
      </c>
      <c r="G11" s="44" t="s">
        <v>143</v>
      </c>
      <c r="H11" s="6"/>
      <c r="I11" s="6" t="s">
        <v>165</v>
      </c>
      <c r="J11" s="6">
        <v>20</v>
      </c>
      <c r="K11" s="6"/>
      <c r="L11" s="6">
        <f t="shared" si="0"/>
        <v>0</v>
      </c>
    </row>
    <row r="12" spans="1:12" ht="43.2" hidden="1">
      <c r="A12" s="55">
        <v>12</v>
      </c>
      <c r="B12" s="33" t="s">
        <v>111</v>
      </c>
      <c r="C12" s="34" t="s">
        <v>110</v>
      </c>
      <c r="D12" s="39">
        <v>4</v>
      </c>
      <c r="E12" s="6"/>
      <c r="F12" s="55" t="s">
        <v>163</v>
      </c>
      <c r="G12" s="6"/>
      <c r="H12" s="6"/>
      <c r="I12" s="6" t="s">
        <v>165</v>
      </c>
      <c r="J12" s="6">
        <v>10</v>
      </c>
      <c r="K12" s="6"/>
      <c r="L12" s="6">
        <f t="shared" si="0"/>
        <v>0</v>
      </c>
    </row>
    <row r="13" spans="1:12" ht="25.8" hidden="1">
      <c r="A13" s="55">
        <v>13</v>
      </c>
      <c r="B13" s="36" t="s">
        <v>85</v>
      </c>
      <c r="C13" s="6" t="s">
        <v>112</v>
      </c>
      <c r="D13" s="39">
        <v>4</v>
      </c>
      <c r="E13" s="6"/>
      <c r="F13" s="55" t="s">
        <v>163</v>
      </c>
      <c r="G13" s="6"/>
      <c r="H13" s="6"/>
      <c r="I13" s="6" t="s">
        <v>180</v>
      </c>
      <c r="J13" s="6">
        <v>120</v>
      </c>
      <c r="K13" s="6"/>
      <c r="L13" s="6">
        <f t="shared" si="0"/>
        <v>0</v>
      </c>
    </row>
    <row r="14" spans="1:12" ht="25.8" hidden="1">
      <c r="A14" s="55">
        <v>14</v>
      </c>
      <c r="B14" s="36" t="s">
        <v>86</v>
      </c>
      <c r="C14" s="6" t="s">
        <v>113</v>
      </c>
      <c r="D14" s="39">
        <v>4</v>
      </c>
      <c r="E14" s="6"/>
      <c r="F14" s="55" t="s">
        <v>163</v>
      </c>
      <c r="G14" s="6"/>
      <c r="H14" s="6"/>
      <c r="I14" s="6" t="s">
        <v>180</v>
      </c>
      <c r="J14" s="6">
        <v>10</v>
      </c>
      <c r="K14" s="6"/>
      <c r="L14" s="6">
        <f t="shared" si="0"/>
        <v>0</v>
      </c>
    </row>
    <row r="15" spans="1:12" s="43" customFormat="1" ht="84">
      <c r="A15" s="57">
        <v>15</v>
      </c>
      <c r="B15" s="74" t="s">
        <v>89</v>
      </c>
      <c r="C15" s="41" t="s">
        <v>137</v>
      </c>
      <c r="D15" s="42">
        <v>2</v>
      </c>
      <c r="E15" s="79" t="s">
        <v>147</v>
      </c>
      <c r="F15" s="53" t="s">
        <v>151</v>
      </c>
      <c r="G15" s="45" t="s">
        <v>143</v>
      </c>
      <c r="H15" s="41" t="s">
        <v>154</v>
      </c>
      <c r="I15" s="50" t="s">
        <v>176</v>
      </c>
      <c r="J15" s="83">
        <v>10</v>
      </c>
      <c r="K15" s="83">
        <v>15</v>
      </c>
      <c r="L15" s="6">
        <f t="shared" si="0"/>
        <v>150</v>
      </c>
    </row>
    <row r="16" spans="1:12" s="32" customFormat="1" ht="72">
      <c r="A16" s="57"/>
      <c r="B16" s="74"/>
      <c r="C16" s="37" t="s">
        <v>139</v>
      </c>
      <c r="D16" s="39">
        <v>1</v>
      </c>
      <c r="E16" s="80"/>
      <c r="F16" s="53" t="s">
        <v>151</v>
      </c>
      <c r="G16" s="45" t="s">
        <v>143</v>
      </c>
      <c r="H16" s="41" t="s">
        <v>155</v>
      </c>
      <c r="I16" s="50" t="s">
        <v>176</v>
      </c>
      <c r="J16" s="83">
        <v>30</v>
      </c>
      <c r="K16" s="83">
        <v>15</v>
      </c>
      <c r="L16" s="6">
        <f t="shared" si="0"/>
        <v>450</v>
      </c>
    </row>
    <row r="17" spans="1:12" s="32" customFormat="1" ht="72">
      <c r="A17" s="57"/>
      <c r="B17" s="74"/>
      <c r="C17" s="37" t="s">
        <v>173</v>
      </c>
      <c r="D17" s="39">
        <v>1</v>
      </c>
      <c r="E17" s="80"/>
      <c r="F17" s="53" t="s">
        <v>151</v>
      </c>
      <c r="G17" s="45" t="s">
        <v>143</v>
      </c>
      <c r="H17" s="41" t="s">
        <v>155</v>
      </c>
      <c r="I17" s="47" t="s">
        <v>175</v>
      </c>
      <c r="J17" s="83">
        <v>20</v>
      </c>
      <c r="K17" s="83">
        <v>15</v>
      </c>
      <c r="L17" s="6">
        <f t="shared" si="0"/>
        <v>300</v>
      </c>
    </row>
    <row r="18" spans="1:12" s="32" customFormat="1" ht="28.8">
      <c r="A18" s="57"/>
      <c r="B18" s="57"/>
      <c r="C18" s="37" t="s">
        <v>140</v>
      </c>
      <c r="D18" s="39">
        <v>4</v>
      </c>
      <c r="E18" s="53"/>
      <c r="F18" s="53" t="s">
        <v>163</v>
      </c>
      <c r="G18" s="35"/>
      <c r="H18" s="37"/>
      <c r="I18" s="47" t="s">
        <v>175</v>
      </c>
      <c r="J18" s="35"/>
      <c r="K18" s="35"/>
      <c r="L18" s="6">
        <f t="shared" si="0"/>
        <v>0</v>
      </c>
    </row>
    <row r="19" spans="1:12" s="32" customFormat="1" ht="25.8" hidden="1">
      <c r="A19" s="57"/>
      <c r="B19" s="57"/>
      <c r="C19" s="40" t="s">
        <v>132</v>
      </c>
      <c r="D19" s="39" t="s">
        <v>138</v>
      </c>
      <c r="E19" s="53" t="s">
        <v>163</v>
      </c>
      <c r="F19" s="53" t="s">
        <v>163</v>
      </c>
      <c r="G19" s="35"/>
      <c r="H19" s="37"/>
      <c r="I19" s="48" t="s">
        <v>167</v>
      </c>
      <c r="J19" s="35"/>
      <c r="K19" s="35"/>
      <c r="L19" s="6">
        <f t="shared" si="0"/>
        <v>0</v>
      </c>
    </row>
    <row r="20" spans="1:12" s="32" customFormat="1" ht="100.8">
      <c r="A20" s="57"/>
      <c r="B20" s="74"/>
      <c r="C20" s="37" t="s">
        <v>133</v>
      </c>
      <c r="D20" s="39">
        <v>0</v>
      </c>
      <c r="E20" s="80"/>
      <c r="F20" s="53" t="s">
        <v>151</v>
      </c>
      <c r="G20" s="35"/>
      <c r="H20" s="37" t="s">
        <v>156</v>
      </c>
      <c r="I20" s="47" t="s">
        <v>175</v>
      </c>
      <c r="J20" s="83">
        <v>10</v>
      </c>
      <c r="K20" s="83">
        <v>15</v>
      </c>
      <c r="L20" s="6">
        <f t="shared" si="0"/>
        <v>150</v>
      </c>
    </row>
    <row r="21" spans="1:12" s="32" customFormat="1" ht="25.8" hidden="1">
      <c r="A21" s="57"/>
      <c r="B21" s="57"/>
      <c r="C21" s="40" t="s">
        <v>134</v>
      </c>
      <c r="D21" s="39" t="s">
        <v>138</v>
      </c>
      <c r="E21" s="53" t="s">
        <v>163</v>
      </c>
      <c r="F21" s="53" t="s">
        <v>163</v>
      </c>
      <c r="G21" s="35"/>
      <c r="H21" s="37"/>
      <c r="I21" s="48" t="s">
        <v>178</v>
      </c>
      <c r="J21" s="35"/>
      <c r="K21" s="35"/>
      <c r="L21" s="6">
        <f t="shared" si="0"/>
        <v>0</v>
      </c>
    </row>
    <row r="22" spans="1:12" s="32" customFormat="1" ht="25.8" hidden="1">
      <c r="A22" s="57"/>
      <c r="B22" s="57"/>
      <c r="C22" s="40" t="s">
        <v>135</v>
      </c>
      <c r="D22" s="39" t="s">
        <v>138</v>
      </c>
      <c r="E22" s="53" t="s">
        <v>163</v>
      </c>
      <c r="F22" s="53" t="s">
        <v>163</v>
      </c>
      <c r="G22" s="35"/>
      <c r="H22" s="37"/>
      <c r="I22" s="48" t="s">
        <v>166</v>
      </c>
      <c r="J22" s="35"/>
      <c r="K22" s="35"/>
      <c r="L22" s="6">
        <f t="shared" si="0"/>
        <v>0</v>
      </c>
    </row>
    <row r="23" spans="1:12" s="32" customFormat="1" ht="25.8">
      <c r="A23" s="57"/>
      <c r="B23" s="57"/>
      <c r="C23" s="37" t="s">
        <v>136</v>
      </c>
      <c r="D23" s="39">
        <v>4</v>
      </c>
      <c r="E23" s="53"/>
      <c r="F23" s="53" t="s">
        <v>163</v>
      </c>
      <c r="G23" s="35"/>
      <c r="H23" s="37"/>
      <c r="I23" s="47" t="s">
        <v>175</v>
      </c>
      <c r="J23" s="35"/>
      <c r="K23" s="35"/>
      <c r="L23" s="6">
        <f t="shared" si="0"/>
        <v>0</v>
      </c>
    </row>
    <row r="24" spans="1:12" s="32" customFormat="1" ht="100.8" hidden="1">
      <c r="A24" s="53">
        <v>16</v>
      </c>
      <c r="B24" s="37" t="s">
        <v>90</v>
      </c>
      <c r="C24" s="37" t="s">
        <v>119</v>
      </c>
      <c r="D24" s="39">
        <v>3</v>
      </c>
      <c r="E24" s="80"/>
      <c r="F24" s="53" t="s">
        <v>151</v>
      </c>
      <c r="G24" s="45" t="s">
        <v>143</v>
      </c>
      <c r="H24" s="37" t="s">
        <v>157</v>
      </c>
      <c r="I24" s="51" t="s">
        <v>177</v>
      </c>
      <c r="J24" s="83">
        <v>5</v>
      </c>
      <c r="K24" s="83">
        <v>15</v>
      </c>
      <c r="L24" s="6">
        <f t="shared" si="0"/>
        <v>75</v>
      </c>
    </row>
    <row r="25" spans="1:12" s="32" customFormat="1" ht="86.4">
      <c r="A25" s="53">
        <v>17</v>
      </c>
      <c r="B25" s="37" t="s">
        <v>114</v>
      </c>
      <c r="C25" s="37" t="s">
        <v>121</v>
      </c>
      <c r="D25" s="39">
        <v>3</v>
      </c>
      <c r="E25" s="80"/>
      <c r="F25" s="53" t="s">
        <v>151</v>
      </c>
      <c r="G25" s="45" t="s">
        <v>143</v>
      </c>
      <c r="H25" s="37" t="s">
        <v>158</v>
      </c>
      <c r="I25" s="50" t="s">
        <v>176</v>
      </c>
      <c r="J25" s="83">
        <v>10</v>
      </c>
      <c r="K25" s="83">
        <v>15</v>
      </c>
      <c r="L25" s="6">
        <f t="shared" si="0"/>
        <v>150</v>
      </c>
    </row>
    <row r="26" spans="1:12" s="32" customFormat="1" ht="100.8" hidden="1">
      <c r="A26" s="53">
        <v>18</v>
      </c>
      <c r="B26" s="37" t="s">
        <v>92</v>
      </c>
      <c r="C26" s="37" t="s">
        <v>120</v>
      </c>
      <c r="D26" s="39">
        <v>3</v>
      </c>
      <c r="E26" s="80"/>
      <c r="F26" s="53" t="s">
        <v>151</v>
      </c>
      <c r="G26" s="45" t="s">
        <v>143</v>
      </c>
      <c r="H26" s="37" t="s">
        <v>159</v>
      </c>
      <c r="I26" s="51" t="s">
        <v>177</v>
      </c>
      <c r="J26" s="83">
        <v>5</v>
      </c>
      <c r="K26" s="83">
        <v>15</v>
      </c>
      <c r="L26" s="6">
        <f t="shared" si="0"/>
        <v>75</v>
      </c>
    </row>
    <row r="27" spans="1:12" ht="28.8" hidden="1">
      <c r="A27" s="55">
        <v>19</v>
      </c>
      <c r="B27" s="36" t="s">
        <v>93</v>
      </c>
      <c r="C27" s="34" t="s">
        <v>115</v>
      </c>
      <c r="D27" s="39">
        <v>4</v>
      </c>
      <c r="E27" s="6"/>
      <c r="F27" s="55" t="s">
        <v>163</v>
      </c>
      <c r="G27" s="6"/>
      <c r="H27" s="6"/>
      <c r="I27" s="6" t="s">
        <v>165</v>
      </c>
      <c r="J27" s="6"/>
      <c r="K27" s="6"/>
      <c r="L27" s="6">
        <f t="shared" si="0"/>
        <v>0</v>
      </c>
    </row>
    <row r="28" spans="1:12" ht="25.8" hidden="1">
      <c r="A28" s="55">
        <v>20</v>
      </c>
      <c r="B28" s="36" t="s">
        <v>94</v>
      </c>
      <c r="C28" s="6" t="s">
        <v>117</v>
      </c>
      <c r="D28" s="39">
        <v>4</v>
      </c>
      <c r="E28" s="6"/>
      <c r="F28" s="55" t="s">
        <v>163</v>
      </c>
      <c r="G28" s="6"/>
      <c r="H28" s="6"/>
      <c r="I28" s="49" t="s">
        <v>168</v>
      </c>
      <c r="J28" s="6"/>
      <c r="K28" s="6"/>
      <c r="L28" s="6">
        <f t="shared" si="0"/>
        <v>0</v>
      </c>
    </row>
    <row r="29" spans="1:12" s="32" customFormat="1" ht="108">
      <c r="A29" s="53">
        <v>21</v>
      </c>
      <c r="B29" s="75" t="s">
        <v>17</v>
      </c>
      <c r="C29" s="76" t="s">
        <v>18</v>
      </c>
      <c r="D29" s="39">
        <v>0</v>
      </c>
      <c r="E29" s="78" t="s">
        <v>148</v>
      </c>
      <c r="F29" s="53" t="s">
        <v>151</v>
      </c>
      <c r="G29" s="35"/>
      <c r="H29" s="37" t="s">
        <v>160</v>
      </c>
      <c r="I29" s="47" t="s">
        <v>175</v>
      </c>
      <c r="J29" s="83">
        <v>30</v>
      </c>
      <c r="K29" s="83">
        <v>3</v>
      </c>
      <c r="L29" s="6">
        <f t="shared" si="0"/>
        <v>90</v>
      </c>
    </row>
    <row r="30" spans="1:12" s="32" customFormat="1" ht="57.6">
      <c r="A30" s="53">
        <v>22</v>
      </c>
      <c r="B30" s="75"/>
      <c r="C30" s="76" t="s">
        <v>122</v>
      </c>
      <c r="D30" s="39">
        <v>3</v>
      </c>
      <c r="E30" s="80"/>
      <c r="F30" s="53" t="s">
        <v>151</v>
      </c>
      <c r="G30" s="35"/>
      <c r="H30" s="37" t="s">
        <v>161</v>
      </c>
      <c r="I30" s="47" t="s">
        <v>175</v>
      </c>
      <c r="J30" s="83">
        <v>15</v>
      </c>
      <c r="K30" s="83">
        <v>3</v>
      </c>
      <c r="L30" s="6">
        <f t="shared" si="0"/>
        <v>45</v>
      </c>
    </row>
    <row r="31" spans="1:12" s="32" customFormat="1" ht="25.8">
      <c r="A31" s="53">
        <v>23</v>
      </c>
      <c r="B31" s="56"/>
      <c r="C31" s="38" t="s">
        <v>131</v>
      </c>
      <c r="D31" s="39">
        <v>4</v>
      </c>
      <c r="E31" s="53" t="s">
        <v>163</v>
      </c>
      <c r="F31" s="53" t="s">
        <v>163</v>
      </c>
      <c r="G31" s="35"/>
      <c r="H31" s="35"/>
      <c r="I31" s="47" t="s">
        <v>175</v>
      </c>
      <c r="J31" s="35"/>
      <c r="K31" s="35"/>
      <c r="L31" s="6">
        <f t="shared" si="0"/>
        <v>0</v>
      </c>
    </row>
    <row r="32" spans="1:12" s="32" customFormat="1" ht="108">
      <c r="A32" s="53">
        <v>24</v>
      </c>
      <c r="B32" s="75"/>
      <c r="C32" s="76" t="s">
        <v>23</v>
      </c>
      <c r="D32" s="39">
        <v>0</v>
      </c>
      <c r="E32" s="78" t="s">
        <v>149</v>
      </c>
      <c r="F32" s="53" t="s">
        <v>151</v>
      </c>
      <c r="G32" s="35"/>
      <c r="H32" s="37" t="s">
        <v>160</v>
      </c>
      <c r="I32" s="47" t="s">
        <v>175</v>
      </c>
      <c r="J32" s="83">
        <v>15</v>
      </c>
      <c r="K32" s="83">
        <v>1</v>
      </c>
      <c r="L32" s="6">
        <f t="shared" si="0"/>
        <v>15</v>
      </c>
    </row>
    <row r="33" spans="1:12" s="32" customFormat="1" ht="96">
      <c r="A33" s="53">
        <v>25</v>
      </c>
      <c r="B33" s="37" t="s">
        <v>28</v>
      </c>
      <c r="C33" s="37" t="s">
        <v>152</v>
      </c>
      <c r="D33" s="39">
        <v>2</v>
      </c>
      <c r="E33" s="78" t="s">
        <v>150</v>
      </c>
      <c r="F33" s="53" t="s">
        <v>151</v>
      </c>
      <c r="G33" s="35"/>
      <c r="H33" s="37" t="s">
        <v>162</v>
      </c>
      <c r="I33" s="50" t="s">
        <v>176</v>
      </c>
      <c r="J33" s="83">
        <v>15</v>
      </c>
      <c r="K33" s="83">
        <v>20</v>
      </c>
      <c r="L33" s="6">
        <f t="shared" si="0"/>
        <v>300</v>
      </c>
    </row>
    <row r="34" spans="1:12" s="32" customFormat="1" ht="25.8">
      <c r="A34" s="53">
        <v>26</v>
      </c>
      <c r="B34" s="52" t="s">
        <v>123</v>
      </c>
      <c r="C34" s="35" t="s">
        <v>124</v>
      </c>
      <c r="D34" s="39">
        <v>4</v>
      </c>
      <c r="E34" s="53"/>
      <c r="F34" s="53" t="s">
        <v>163</v>
      </c>
      <c r="G34" s="35"/>
      <c r="H34" s="35"/>
      <c r="I34" s="50" t="s">
        <v>176</v>
      </c>
      <c r="J34" s="35">
        <v>10</v>
      </c>
      <c r="K34" s="35">
        <v>3</v>
      </c>
      <c r="L34" s="6">
        <f t="shared" si="0"/>
        <v>30</v>
      </c>
    </row>
    <row r="35" spans="1:12" ht="25.8">
      <c r="A35" s="55">
        <v>27</v>
      </c>
      <c r="B35" s="54" t="s">
        <v>144</v>
      </c>
      <c r="C35" s="46" t="s">
        <v>145</v>
      </c>
      <c r="D35" s="39">
        <v>1</v>
      </c>
      <c r="E35" s="55" t="s">
        <v>53</v>
      </c>
      <c r="F35" s="53" t="s">
        <v>151</v>
      </c>
      <c r="G35" s="6"/>
      <c r="H35" s="6"/>
      <c r="I35" s="6" t="s">
        <v>179</v>
      </c>
      <c r="J35" s="6"/>
      <c r="K35" s="6"/>
      <c r="L35" s="6">
        <f t="shared" si="0"/>
        <v>0</v>
      </c>
    </row>
    <row r="37" spans="1:12">
      <c r="K37" s="55" t="s">
        <v>181</v>
      </c>
      <c r="L37" s="6">
        <f>SUBTOTAL(9,L6:L36)</f>
        <v>1770</v>
      </c>
    </row>
    <row r="38" spans="1:12">
      <c r="K38" s="55" t="s">
        <v>182</v>
      </c>
      <c r="L38" s="6">
        <f>L37/60</f>
        <v>29.5</v>
      </c>
    </row>
  </sheetData>
  <autoFilter ref="A1:L35" xr:uid="{C6BCF60C-2F8D-4072-ACA5-7AED22FB0026}">
    <filterColumn colId="8">
      <filters>
        <filter val="伊藤,寺田"/>
        <filter val="伊藤⇒寺田"/>
        <filter val="伊藤⇒寺田（or X）"/>
      </filters>
    </filterColumn>
  </autoFilter>
  <mergeCells count="3">
    <mergeCell ref="B29:B32"/>
    <mergeCell ref="B15:B23"/>
    <mergeCell ref="A15:A23"/>
  </mergeCells>
  <phoneticPr fontId="1"/>
  <conditionalFormatting sqref="D2:D35">
    <cfRule type="iconSet" priority="3">
      <iconSet iconSet="5Quarters" showValue="0">
        <cfvo type="percent" val="0"/>
        <cfvo type="num" val="1"/>
        <cfvo type="num" val="2"/>
        <cfvo type="num" val="3"/>
        <cfvo type="num" val="4"/>
      </iconSet>
    </cfRule>
  </conditionalFormatting>
  <hyperlinks>
    <hyperlink ref="C35" r:id="rId1" xr:uid="{3F95C7AF-CF4C-4FCA-B0FE-2E5927CF70D4}"/>
    <hyperlink ref="E6" r:id="rId2" xr:uid="{31D57862-1FC2-4391-B1C1-568DF123A3B0}"/>
    <hyperlink ref="E15" r:id="rId3" xr:uid="{4DAA0863-3D2A-4B44-9D64-33F84B9C15D9}"/>
    <hyperlink ref="E32" r:id="rId4" xr:uid="{692CC557-7B01-4B10-B44D-F51D8031D4A5}"/>
    <hyperlink ref="E33" r:id="rId5" xr:uid="{A7ACCC6F-AD99-47D9-BEE7-A297893258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F971-BB15-4485-B55B-13F93361876E}">
  <sheetPr codeName="Sheet2"/>
  <dimension ref="A8:B59"/>
  <sheetViews>
    <sheetView workbookViewId="0">
      <selection activeCell="M15" sqref="M15:M17"/>
    </sheetView>
  </sheetViews>
  <sheetFormatPr defaultRowHeight="12"/>
  <cols>
    <col min="1" max="1" width="6.77734375" customWidth="1"/>
    <col min="2" max="2" width="74.88671875" customWidth="1"/>
  </cols>
  <sheetData>
    <row r="8" spans="1:2" ht="18">
      <c r="B8" s="27" t="s">
        <v>71</v>
      </c>
    </row>
    <row r="9" spans="1:2" ht="18">
      <c r="A9">
        <v>1</v>
      </c>
      <c r="B9" s="28" t="s">
        <v>72</v>
      </c>
    </row>
    <row r="10" spans="1:2" ht="18">
      <c r="A10">
        <v>2</v>
      </c>
      <c r="B10" s="28" t="s">
        <v>96</v>
      </c>
    </row>
    <row r="11" spans="1:2" ht="18">
      <c r="A11">
        <v>3</v>
      </c>
      <c r="B11" s="28" t="s">
        <v>98</v>
      </c>
    </row>
    <row r="12" spans="1:2" ht="18">
      <c r="A12">
        <v>4</v>
      </c>
      <c r="B12" s="28" t="s">
        <v>100</v>
      </c>
    </row>
    <row r="13" spans="1:2" ht="18">
      <c r="A13">
        <v>5</v>
      </c>
      <c r="B13" s="28" t="s">
        <v>103</v>
      </c>
    </row>
    <row r="14" spans="1:2" ht="18">
      <c r="A14">
        <v>6</v>
      </c>
      <c r="B14" s="28" t="s">
        <v>74</v>
      </c>
    </row>
    <row r="15" spans="1:2" ht="18">
      <c r="A15">
        <v>7</v>
      </c>
      <c r="B15" s="29" t="s">
        <v>75</v>
      </c>
    </row>
    <row r="16" spans="1:2" ht="18">
      <c r="A16">
        <v>8</v>
      </c>
      <c r="B16" s="28" t="s">
        <v>76</v>
      </c>
    </row>
    <row r="17" spans="1:2" ht="18">
      <c r="A17">
        <v>9</v>
      </c>
      <c r="B17" s="28" t="s">
        <v>77</v>
      </c>
    </row>
    <row r="18" spans="1:2" ht="18">
      <c r="B18" s="30" t="s">
        <v>78</v>
      </c>
    </row>
    <row r="19" spans="1:2" ht="18">
      <c r="B19" s="30"/>
    </row>
    <row r="20" spans="1:2" ht="18">
      <c r="B20" s="30"/>
    </row>
    <row r="21" spans="1:2" ht="18">
      <c r="B21" s="31" t="s">
        <v>79</v>
      </c>
    </row>
    <row r="22" spans="1:2" ht="18">
      <c r="A22">
        <v>1</v>
      </c>
      <c r="B22" s="28" t="s">
        <v>72</v>
      </c>
    </row>
    <row r="23" spans="1:2" ht="18">
      <c r="A23">
        <v>2</v>
      </c>
      <c r="B23" s="28" t="s">
        <v>73</v>
      </c>
    </row>
    <row r="24" spans="1:2" ht="18">
      <c r="A24">
        <v>10</v>
      </c>
      <c r="B24" s="28" t="s">
        <v>80</v>
      </c>
    </row>
    <row r="25" spans="1:2" ht="18">
      <c r="A25">
        <v>11</v>
      </c>
      <c r="B25" s="28" t="s">
        <v>81</v>
      </c>
    </row>
    <row r="26" spans="1:2" ht="18">
      <c r="A26">
        <v>12</v>
      </c>
      <c r="B26" s="29" t="s">
        <v>82</v>
      </c>
    </row>
    <row r="27" spans="1:2" ht="18">
      <c r="A27">
        <v>9</v>
      </c>
      <c r="B27" s="28" t="s">
        <v>77</v>
      </c>
    </row>
    <row r="28" spans="1:2" ht="18">
      <c r="B28" s="30"/>
    </row>
    <row r="29" spans="1:2" ht="18">
      <c r="B29" s="30"/>
    </row>
    <row r="30" spans="1:2" ht="18">
      <c r="B30" s="31" t="s">
        <v>83</v>
      </c>
    </row>
    <row r="31" spans="1:2" ht="18">
      <c r="A31">
        <v>1</v>
      </c>
      <c r="B31" s="28" t="s">
        <v>128</v>
      </c>
    </row>
    <row r="32" spans="1:2" ht="18">
      <c r="A32">
        <v>2</v>
      </c>
      <c r="B32" s="28" t="s">
        <v>73</v>
      </c>
    </row>
    <row r="33" spans="1:2" ht="18">
      <c r="A33">
        <v>9</v>
      </c>
      <c r="B33" s="28" t="s">
        <v>77</v>
      </c>
    </row>
    <row r="34" spans="1:2" ht="18">
      <c r="B34" s="30"/>
    </row>
    <row r="35" spans="1:2" ht="18">
      <c r="B35" s="30"/>
    </row>
    <row r="36" spans="1:2" ht="18">
      <c r="B36" s="30"/>
    </row>
    <row r="37" spans="1:2" ht="18">
      <c r="B37" s="31" t="s">
        <v>84</v>
      </c>
    </row>
    <row r="38" spans="1:2" ht="18">
      <c r="A38">
        <v>1</v>
      </c>
      <c r="B38" s="28" t="s">
        <v>72</v>
      </c>
    </row>
    <row r="39" spans="1:2" ht="18">
      <c r="A39">
        <v>2</v>
      </c>
      <c r="B39" s="28" t="s">
        <v>73</v>
      </c>
    </row>
    <row r="40" spans="1:2" ht="18">
      <c r="A40">
        <v>9</v>
      </c>
      <c r="B40" s="28" t="s">
        <v>77</v>
      </c>
    </row>
    <row r="41" spans="1:2" ht="18">
      <c r="A41">
        <v>13</v>
      </c>
      <c r="B41" s="28" t="s">
        <v>85</v>
      </c>
    </row>
    <row r="42" spans="1:2" ht="18">
      <c r="A42">
        <v>14</v>
      </c>
      <c r="B42" s="28" t="s">
        <v>86</v>
      </c>
    </row>
    <row r="43" spans="1:2" ht="18">
      <c r="B43" s="30"/>
    </row>
    <row r="44" spans="1:2" ht="18">
      <c r="B44" s="30"/>
    </row>
    <row r="45" spans="1:2" ht="18">
      <c r="B45" s="31" t="s">
        <v>87</v>
      </c>
    </row>
    <row r="46" spans="1:2" ht="18">
      <c r="A46">
        <v>1</v>
      </c>
      <c r="B46" s="28" t="s">
        <v>72</v>
      </c>
    </row>
    <row r="47" spans="1:2" ht="18">
      <c r="A47">
        <v>2</v>
      </c>
      <c r="B47" s="28" t="s">
        <v>73</v>
      </c>
    </row>
    <row r="48" spans="1:2" ht="18">
      <c r="A48">
        <v>9</v>
      </c>
      <c r="B48" s="28" t="s">
        <v>77</v>
      </c>
    </row>
    <row r="53" spans="1:2" ht="18">
      <c r="B53" s="27" t="s">
        <v>88</v>
      </c>
    </row>
    <row r="54" spans="1:2" ht="18">
      <c r="A54">
        <v>15</v>
      </c>
      <c r="B54" s="28" t="s">
        <v>89</v>
      </c>
    </row>
    <row r="55" spans="1:2" ht="18">
      <c r="A55">
        <v>16</v>
      </c>
      <c r="B55" s="29" t="s">
        <v>90</v>
      </c>
    </row>
    <row r="56" spans="1:2" ht="18">
      <c r="A56">
        <v>17</v>
      </c>
      <c r="B56" s="29" t="s">
        <v>91</v>
      </c>
    </row>
    <row r="57" spans="1:2" ht="18">
      <c r="A57">
        <v>18</v>
      </c>
      <c r="B57" s="29" t="s">
        <v>92</v>
      </c>
    </row>
    <row r="58" spans="1:2" ht="18">
      <c r="A58">
        <v>19</v>
      </c>
      <c r="B58" s="29" t="s">
        <v>93</v>
      </c>
    </row>
    <row r="59" spans="1:2" ht="18">
      <c r="A59">
        <v>20</v>
      </c>
      <c r="B59" s="29" t="s">
        <v>94</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32"/>
  <sheetViews>
    <sheetView zoomScaleNormal="100" workbookViewId="0">
      <selection activeCell="B13" sqref="B13"/>
    </sheetView>
  </sheetViews>
  <sheetFormatPr defaultRowHeight="14.4"/>
  <cols>
    <col min="1" max="1" width="27.6640625" style="2" bestFit="1" customWidth="1"/>
    <col min="2" max="2" width="54.21875" style="2" customWidth="1"/>
    <col min="3" max="3" width="51.5546875" style="2" customWidth="1"/>
    <col min="4" max="4" width="12.5546875" style="21" customWidth="1"/>
    <col min="5" max="5" width="12.5546875" style="22" customWidth="1"/>
    <col min="6" max="6" width="12.5546875" style="23" customWidth="1"/>
    <col min="7" max="7" width="12.5546875" style="22" customWidth="1"/>
    <col min="8" max="9" width="11.88671875" style="21" customWidth="1"/>
    <col min="10" max="11" width="11.88671875" style="2" customWidth="1"/>
    <col min="12" max="13" width="9.6640625" style="2" customWidth="1"/>
    <col min="14" max="16384" width="8.88671875" style="2"/>
  </cols>
  <sheetData>
    <row r="1" spans="1:11" ht="16.5" customHeight="1">
      <c r="A1" s="58" t="s">
        <v>0</v>
      </c>
      <c r="B1" s="59"/>
      <c r="C1" s="1"/>
      <c r="D1" s="65" t="s">
        <v>6</v>
      </c>
      <c r="E1" s="65" t="s">
        <v>4</v>
      </c>
      <c r="F1" s="65" t="s">
        <v>5</v>
      </c>
      <c r="G1" s="65" t="s">
        <v>41</v>
      </c>
      <c r="H1" s="63" t="s">
        <v>37</v>
      </c>
      <c r="I1" s="63" t="s">
        <v>38</v>
      </c>
      <c r="J1" s="63" t="s">
        <v>35</v>
      </c>
      <c r="K1" s="63" t="s">
        <v>36</v>
      </c>
    </row>
    <row r="2" spans="1:11" s="5" customFormat="1" ht="16.5" customHeight="1">
      <c r="A2" s="3" t="s">
        <v>1</v>
      </c>
      <c r="B2" s="3"/>
      <c r="C2" s="3" t="s">
        <v>49</v>
      </c>
      <c r="D2" s="64"/>
      <c r="E2" s="64"/>
      <c r="F2" s="64"/>
      <c r="G2" s="64"/>
      <c r="H2" s="64"/>
      <c r="I2" s="64"/>
      <c r="J2" s="64"/>
      <c r="K2" s="64"/>
    </row>
    <row r="3" spans="1:11" s="5" customFormat="1" ht="16.5" customHeight="1">
      <c r="A3" s="25" t="s">
        <v>34</v>
      </c>
      <c r="B3" s="25" t="s">
        <v>34</v>
      </c>
      <c r="C3" s="6" t="s">
        <v>50</v>
      </c>
      <c r="D3" s="7" t="s">
        <v>19</v>
      </c>
      <c r="E3" s="8"/>
      <c r="F3" s="8" t="s">
        <v>45</v>
      </c>
      <c r="G3" s="8"/>
      <c r="H3" s="7"/>
      <c r="I3" s="7" t="s">
        <v>39</v>
      </c>
      <c r="J3" s="3"/>
      <c r="K3" s="3"/>
    </row>
    <row r="4" spans="1:11" ht="18" customHeight="1">
      <c r="A4" s="60" t="s">
        <v>2</v>
      </c>
      <c r="B4" s="6" t="s">
        <v>3</v>
      </c>
    </row>
    <row r="5" spans="1:11" ht="18" customHeight="1">
      <c r="A5" s="61"/>
      <c r="B5" s="25" t="s">
        <v>32</v>
      </c>
      <c r="C5" s="6" t="s">
        <v>51</v>
      </c>
      <c r="D5" s="7">
        <v>45820</v>
      </c>
      <c r="E5" s="8"/>
      <c r="F5" s="8" t="s">
        <v>44</v>
      </c>
      <c r="G5" s="8"/>
      <c r="H5" s="7"/>
      <c r="I5" s="7"/>
      <c r="J5" s="3"/>
      <c r="K5" s="3"/>
    </row>
    <row r="6" spans="1:11" ht="18" customHeight="1">
      <c r="A6" s="61"/>
      <c r="B6" s="25" t="s">
        <v>7</v>
      </c>
      <c r="C6" s="6" t="s">
        <v>52</v>
      </c>
      <c r="D6" s="7">
        <v>45821</v>
      </c>
      <c r="E6" s="8"/>
      <c r="F6" s="8" t="s">
        <v>45</v>
      </c>
      <c r="G6" s="8"/>
      <c r="H6" s="7"/>
      <c r="I6" s="7" t="s">
        <v>39</v>
      </c>
      <c r="J6" s="3"/>
      <c r="K6" s="3"/>
    </row>
    <row r="7" spans="1:11" ht="18" customHeight="1">
      <c r="A7" s="61"/>
      <c r="B7" s="25" t="s">
        <v>61</v>
      </c>
      <c r="C7" s="6" t="s">
        <v>52</v>
      </c>
      <c r="D7" s="7">
        <v>45820</v>
      </c>
      <c r="E7" s="8"/>
      <c r="F7" s="8" t="s">
        <v>46</v>
      </c>
      <c r="G7" s="8"/>
      <c r="H7" s="7"/>
      <c r="I7" s="7"/>
      <c r="J7" s="3"/>
      <c r="K7" s="3"/>
    </row>
    <row r="8" spans="1:11" ht="18" customHeight="1">
      <c r="A8" s="61"/>
      <c r="B8" s="6" t="s">
        <v>62</v>
      </c>
      <c r="C8" s="24" t="s">
        <v>63</v>
      </c>
      <c r="D8" s="7">
        <v>45820</v>
      </c>
      <c r="E8" s="8"/>
      <c r="F8" s="8" t="s">
        <v>45</v>
      </c>
      <c r="G8" s="8"/>
      <c r="H8" s="7"/>
      <c r="I8" s="7" t="s">
        <v>39</v>
      </c>
      <c r="J8" s="3"/>
      <c r="K8" s="3"/>
    </row>
    <row r="9" spans="1:11" ht="18" customHeight="1">
      <c r="A9" s="62"/>
      <c r="B9" s="6" t="s">
        <v>64</v>
      </c>
      <c r="C9" s="6" t="s">
        <v>65</v>
      </c>
      <c r="D9" s="11" t="s">
        <v>31</v>
      </c>
      <c r="E9" s="9"/>
      <c r="F9" s="8" t="s">
        <v>44</v>
      </c>
      <c r="G9" s="9"/>
      <c r="H9" s="10"/>
      <c r="I9" s="10"/>
      <c r="J9" s="6"/>
      <c r="K9" s="6"/>
    </row>
    <row r="10" spans="1:11" ht="18" customHeight="1">
      <c r="A10" s="69" t="s">
        <v>66</v>
      </c>
      <c r="B10" s="2" t="s">
        <v>67</v>
      </c>
      <c r="C10" s="2" t="s">
        <v>68</v>
      </c>
      <c r="D10" s="7" t="s">
        <v>15</v>
      </c>
      <c r="E10" s="8" t="s">
        <v>43</v>
      </c>
      <c r="F10" s="8" t="s">
        <v>44</v>
      </c>
      <c r="G10" s="8" t="s">
        <v>42</v>
      </c>
      <c r="H10" s="7"/>
      <c r="I10" s="7"/>
      <c r="J10" s="3"/>
      <c r="K10" s="3"/>
    </row>
    <row r="11" spans="1:11" ht="18" customHeight="1">
      <c r="A11" s="69"/>
      <c r="B11" s="25" t="s">
        <v>13</v>
      </c>
      <c r="C11" s="25" t="s">
        <v>54</v>
      </c>
      <c r="D11" s="7"/>
      <c r="E11" s="8"/>
      <c r="F11" s="8"/>
      <c r="G11" s="8"/>
      <c r="H11" s="7"/>
      <c r="I11" s="7"/>
      <c r="J11" s="4"/>
      <c r="K11" s="4"/>
    </row>
    <row r="12" spans="1:11" ht="18" customHeight="1">
      <c r="A12" s="69"/>
      <c r="B12" s="25" t="s">
        <v>69</v>
      </c>
      <c r="C12" s="26"/>
      <c r="D12" s="7"/>
      <c r="E12" s="8"/>
      <c r="F12" s="8"/>
      <c r="G12" s="8"/>
      <c r="H12" s="7"/>
      <c r="I12" s="7"/>
      <c r="J12" s="4"/>
      <c r="K12" s="4"/>
    </row>
    <row r="13" spans="1:11" ht="18" customHeight="1">
      <c r="A13" s="69"/>
      <c r="B13" s="25" t="s">
        <v>70</v>
      </c>
      <c r="C13" s="26"/>
      <c r="D13" s="7"/>
      <c r="E13" s="8"/>
      <c r="F13" s="8"/>
      <c r="G13" s="8"/>
      <c r="H13" s="7"/>
      <c r="I13" s="7"/>
      <c r="J13" s="4"/>
      <c r="K13" s="4"/>
    </row>
    <row r="14" spans="1:11" ht="18" customHeight="1">
      <c r="A14" s="69"/>
      <c r="B14" s="6" t="s">
        <v>14</v>
      </c>
      <c r="C14" s="12" t="s">
        <v>53</v>
      </c>
      <c r="D14" s="11" t="s">
        <v>31</v>
      </c>
      <c r="E14" s="14" t="s">
        <v>16</v>
      </c>
      <c r="F14" s="8" t="s">
        <v>44</v>
      </c>
      <c r="G14" s="8"/>
      <c r="H14" s="7"/>
      <c r="I14" s="7"/>
      <c r="J14" s="3"/>
      <c r="K14" s="3"/>
    </row>
    <row r="15" spans="1:11" ht="18" customHeight="1">
      <c r="A15" s="70" t="s">
        <v>8</v>
      </c>
      <c r="B15" s="25" t="s">
        <v>9</v>
      </c>
      <c r="C15" s="6" t="s">
        <v>55</v>
      </c>
      <c r="D15" s="7">
        <v>45833</v>
      </c>
      <c r="E15" s="8"/>
      <c r="F15" s="8" t="s">
        <v>44</v>
      </c>
      <c r="G15" s="8"/>
      <c r="H15" s="7"/>
      <c r="I15" s="7"/>
      <c r="J15" s="3"/>
      <c r="K15" s="3"/>
    </row>
    <row r="16" spans="1:11" ht="18" customHeight="1">
      <c r="A16" s="70"/>
      <c r="B16" s="6" t="s">
        <v>10</v>
      </c>
      <c r="C16" s="6" t="s">
        <v>56</v>
      </c>
      <c r="D16" s="7" t="s">
        <v>15</v>
      </c>
      <c r="E16" s="8"/>
      <c r="F16" s="8"/>
      <c r="G16" s="8"/>
      <c r="H16" s="7"/>
      <c r="I16" s="7"/>
      <c r="J16" s="3"/>
      <c r="K16" s="3"/>
    </row>
    <row r="17" spans="1:11" ht="18" customHeight="1">
      <c r="A17" s="70"/>
      <c r="B17" s="6" t="s">
        <v>11</v>
      </c>
      <c r="C17" s="6" t="s">
        <v>56</v>
      </c>
      <c r="D17" s="7" t="s">
        <v>15</v>
      </c>
      <c r="E17" s="8"/>
      <c r="F17" s="8"/>
      <c r="G17" s="8"/>
      <c r="H17" s="7"/>
      <c r="I17" s="7"/>
      <c r="J17" s="3"/>
      <c r="K17" s="3"/>
    </row>
    <row r="18" spans="1:11" ht="18" customHeight="1">
      <c r="A18" s="69" t="s">
        <v>12</v>
      </c>
      <c r="B18" s="25" t="s">
        <v>13</v>
      </c>
      <c r="C18" s="25" t="s">
        <v>54</v>
      </c>
      <c r="D18" s="7" t="s">
        <v>15</v>
      </c>
      <c r="E18" s="8" t="s">
        <v>43</v>
      </c>
      <c r="F18" s="8"/>
      <c r="G18" s="8" t="s">
        <v>42</v>
      </c>
      <c r="H18" s="7"/>
      <c r="I18" s="7"/>
      <c r="J18" s="3"/>
      <c r="K18" s="3"/>
    </row>
    <row r="19" spans="1:11" ht="18" customHeight="1">
      <c r="A19" s="71"/>
      <c r="B19" s="15" t="s">
        <v>14</v>
      </c>
      <c r="C19" s="12" t="s">
        <v>53</v>
      </c>
      <c r="D19" s="13" t="s">
        <v>31</v>
      </c>
      <c r="E19" s="16" t="s">
        <v>16</v>
      </c>
      <c r="F19" s="17"/>
      <c r="G19" s="17"/>
      <c r="H19" s="18"/>
      <c r="I19" s="18"/>
      <c r="J19" s="19"/>
      <c r="K19" s="19"/>
    </row>
    <row r="20" spans="1:11" ht="18" customHeight="1">
      <c r="A20" s="66" t="s">
        <v>24</v>
      </c>
      <c r="B20" s="6" t="s">
        <v>25</v>
      </c>
      <c r="C20" s="6" t="s">
        <v>57</v>
      </c>
      <c r="D20" s="14"/>
      <c r="E20" s="14"/>
      <c r="F20" s="8"/>
      <c r="G20" s="8" t="s">
        <v>42</v>
      </c>
      <c r="H20" s="7"/>
      <c r="I20" s="7"/>
      <c r="J20" s="3"/>
      <c r="K20" s="3"/>
    </row>
    <row r="21" spans="1:11" ht="18" customHeight="1">
      <c r="A21" s="67"/>
      <c r="B21" s="6" t="s">
        <v>26</v>
      </c>
      <c r="C21" s="6" t="s">
        <v>57</v>
      </c>
      <c r="D21" s="14"/>
      <c r="E21" s="14"/>
      <c r="F21" s="8"/>
      <c r="G21" s="8"/>
      <c r="H21" s="7"/>
      <c r="I21" s="7"/>
      <c r="J21" s="3"/>
      <c r="K21" s="3"/>
    </row>
    <row r="22" spans="1:11" ht="18" customHeight="1">
      <c r="A22" s="67"/>
      <c r="B22" s="6" t="s">
        <v>27</v>
      </c>
      <c r="C22" s="6" t="s">
        <v>57</v>
      </c>
      <c r="D22" s="14"/>
      <c r="E22" s="14"/>
      <c r="F22" s="8"/>
      <c r="G22" s="8"/>
      <c r="H22" s="7"/>
      <c r="I22" s="7"/>
      <c r="J22" s="3"/>
      <c r="K22" s="3"/>
    </row>
    <row r="23" spans="1:11" ht="18" customHeight="1">
      <c r="A23" s="67"/>
      <c r="B23" s="6" t="s">
        <v>33</v>
      </c>
      <c r="C23" s="6" t="s">
        <v>58</v>
      </c>
      <c r="D23" s="14"/>
      <c r="E23" s="14"/>
      <c r="F23" s="8"/>
      <c r="G23" s="8"/>
      <c r="H23" s="7"/>
      <c r="I23" s="7"/>
      <c r="J23" s="3"/>
      <c r="K23" s="3"/>
    </row>
    <row r="24" spans="1:11" ht="18" customHeight="1">
      <c r="A24" s="68"/>
      <c r="B24" s="25" t="s">
        <v>40</v>
      </c>
      <c r="C24" s="25" t="s">
        <v>54</v>
      </c>
      <c r="D24" s="14"/>
      <c r="E24" s="14"/>
      <c r="F24" s="8"/>
      <c r="G24" s="8"/>
      <c r="H24" s="7"/>
      <c r="I24" s="7"/>
      <c r="J24" s="3"/>
      <c r="K24" s="3"/>
    </row>
    <row r="25" spans="1:11" ht="18" customHeight="1">
      <c r="A25" s="66" t="s">
        <v>17</v>
      </c>
      <c r="B25" s="20" t="s">
        <v>18</v>
      </c>
      <c r="C25" s="6" t="s">
        <v>50</v>
      </c>
      <c r="D25" s="7" t="s">
        <v>20</v>
      </c>
      <c r="E25" s="9"/>
      <c r="F25" s="8" t="s">
        <v>44</v>
      </c>
      <c r="G25" s="9"/>
      <c r="H25" s="10"/>
      <c r="I25" s="10"/>
      <c r="J25" s="6"/>
      <c r="K25" s="6"/>
    </row>
    <row r="26" spans="1:11" ht="18" customHeight="1">
      <c r="A26" s="67"/>
      <c r="B26" s="20" t="s">
        <v>22</v>
      </c>
      <c r="C26" s="6" t="s">
        <v>59</v>
      </c>
      <c r="D26" s="7" t="s">
        <v>15</v>
      </c>
      <c r="E26" s="9"/>
      <c r="F26" s="8" t="s">
        <v>44</v>
      </c>
      <c r="G26" s="9"/>
      <c r="H26" s="10"/>
      <c r="I26" s="10"/>
      <c r="J26" s="6"/>
      <c r="K26" s="6"/>
    </row>
    <row r="27" spans="1:11" ht="18" customHeight="1">
      <c r="A27" s="67"/>
      <c r="B27" s="20" t="s">
        <v>21</v>
      </c>
      <c r="C27" s="6" t="s">
        <v>50</v>
      </c>
      <c r="D27" s="7" t="s">
        <v>142</v>
      </c>
      <c r="E27" s="9"/>
      <c r="F27" s="8" t="s">
        <v>44</v>
      </c>
      <c r="G27" s="9"/>
      <c r="H27" s="10"/>
      <c r="I27" s="10"/>
      <c r="J27" s="6"/>
      <c r="K27" s="6"/>
    </row>
    <row r="28" spans="1:11" ht="18" customHeight="1">
      <c r="A28" s="68"/>
      <c r="B28" s="20" t="s">
        <v>23</v>
      </c>
      <c r="C28" s="6" t="s">
        <v>50</v>
      </c>
      <c r="D28" s="7" t="s">
        <v>20</v>
      </c>
      <c r="E28" s="9"/>
      <c r="F28" s="8" t="s">
        <v>44</v>
      </c>
      <c r="G28" s="9"/>
      <c r="H28" s="10"/>
      <c r="I28" s="10"/>
      <c r="J28" s="6"/>
      <c r="K28" s="6"/>
    </row>
    <row r="29" spans="1:11" ht="18" customHeight="1">
      <c r="A29" s="66" t="s">
        <v>28</v>
      </c>
      <c r="B29" s="6" t="s">
        <v>29</v>
      </c>
      <c r="C29" s="6" t="s">
        <v>50</v>
      </c>
      <c r="D29" s="10"/>
      <c r="E29" s="9"/>
      <c r="F29" s="8" t="s">
        <v>44</v>
      </c>
      <c r="G29" s="9"/>
      <c r="H29" s="10"/>
      <c r="I29" s="10"/>
      <c r="J29" s="6"/>
      <c r="K29" s="6"/>
    </row>
    <row r="30" spans="1:11" ht="18" customHeight="1">
      <c r="A30" s="68"/>
      <c r="B30" s="6" t="s">
        <v>30</v>
      </c>
      <c r="C30" s="6" t="s">
        <v>60</v>
      </c>
      <c r="D30" s="10"/>
      <c r="E30" s="9"/>
      <c r="F30" s="8" t="s">
        <v>45</v>
      </c>
      <c r="G30" s="9"/>
      <c r="H30" s="10"/>
      <c r="I30" s="10"/>
      <c r="J30" s="6"/>
      <c r="K30" s="6"/>
    </row>
    <row r="31" spans="1:11">
      <c r="A31" s="2" t="s">
        <v>47</v>
      </c>
    </row>
    <row r="32" spans="1:11">
      <c r="A32" s="2" t="s">
        <v>48</v>
      </c>
    </row>
  </sheetData>
  <mergeCells count="16">
    <mergeCell ref="A20:A24"/>
    <mergeCell ref="A25:A28"/>
    <mergeCell ref="A29:A30"/>
    <mergeCell ref="A10:A14"/>
    <mergeCell ref="A15:A17"/>
    <mergeCell ref="A18:A19"/>
    <mergeCell ref="A1:B1"/>
    <mergeCell ref="A4:A9"/>
    <mergeCell ref="I1:I2"/>
    <mergeCell ref="K1:K2"/>
    <mergeCell ref="D1:D2"/>
    <mergeCell ref="E1:E2"/>
    <mergeCell ref="F1:F2"/>
    <mergeCell ref="H1:H2"/>
    <mergeCell ref="J1:J2"/>
    <mergeCell ref="G1:G2"/>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仕事一覧</vt:lpstr>
      <vt:lpstr>資料１</vt:lpstr>
      <vt:lpstr>資料２</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z566</dc:creator>
  <cp:lastModifiedBy>伊藤 誠一</cp:lastModifiedBy>
  <dcterms:created xsi:type="dcterms:W3CDTF">2025-06-15T23:26:23Z</dcterms:created>
  <dcterms:modified xsi:type="dcterms:W3CDTF">2025-12-26T08:26:05Z</dcterms:modified>
</cp:coreProperties>
</file>