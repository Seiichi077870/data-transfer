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temp\毎週のピッキング予定\"/>
    </mc:Choice>
  </mc:AlternateContent>
  <xr:revisionPtr revIDLastSave="0" documentId="8_{7A60149A-A686-4417-8703-8C651013715A}" xr6:coauthVersionLast="47" xr6:coauthVersionMax="47" xr10:uidLastSave="{00000000-0000-0000-0000-000000000000}"/>
  <bookViews>
    <workbookView xWindow="9090" yWindow="-14715" windowWidth="19305" windowHeight="12090" tabRatio="599" xr2:uid="{00000000-000D-0000-FFFF-FFFF00000000}"/>
  </bookViews>
  <sheets>
    <sheet name="25-45W" sheetId="3" r:id="rId1"/>
    <sheet name="ピッキングマスタ作成台帳" sheetId="95" r:id="rId2"/>
    <sheet name="設変" sheetId="8" r:id="rId3"/>
    <sheet name="25-45ｰD" sheetId="94" r:id="rId4"/>
    <sheet name="25-44-D" sheetId="92" r:id="rId5"/>
    <sheet name="25-43-D" sheetId="91" r:id="rId6"/>
    <sheet name="25-42-D" sheetId="90" r:id="rId7"/>
    <sheet name="Monthly 日程1006" sheetId="93" r:id="rId8"/>
  </sheets>
  <definedNames>
    <definedName name="_______2005_RETAILS_FOR_MITCH_BY_STATE___VIN">#REF!</definedName>
    <definedName name="___a1" hidden="1">#REF!</definedName>
    <definedName name="___a2" hidden="1">#REF!</definedName>
    <definedName name="___a3" hidden="1">#REF!</definedName>
    <definedName name="___a4" hidden="1">#REF!</definedName>
    <definedName name="___a5" hidden="1">#REF!</definedName>
    <definedName name="__123Graph_A" hidden="1">#REF!</definedName>
    <definedName name="__123Graph_A1" hidden="1">#REF!</definedName>
    <definedName name="__123Graph_AG1" hidden="1">#REF!</definedName>
    <definedName name="__123Graph_AGVW1" hidden="1">#REF!</definedName>
    <definedName name="__123Graph_Aトルク" hidden="1">#REF!</definedName>
    <definedName name="__123Graph_Aトルク倍率2" hidden="1">#REF!</definedName>
    <definedName name="__123Graph_Aメカロス" hidden="1">#REF!</definedName>
    <definedName name="__123Graph_A吸気圧" hidden="1">#REF!</definedName>
    <definedName name="__123Graph_A恒久のみ出図状" hidden="1">#REF!</definedName>
    <definedName name="__123Graph_A恒久出図状況" hidden="1">#REF!</definedName>
    <definedName name="__123Graph_A出力" hidden="1">#REF!</definedName>
    <definedName name="__123Graph_A状況" hidden="1">#REF!</definedName>
    <definedName name="__123Graph_A設計別" hidden="1">#REF!</definedName>
    <definedName name="__123Graph_A排気圧" hidden="1">#REF!</definedName>
    <definedName name="__123Graph_A分類" hidden="1">#REF!</definedName>
    <definedName name="__123Graph_A分類全" hidden="1">#REF!</definedName>
    <definedName name="__123Graph_B" hidden="1">#REF!</definedName>
    <definedName name="__123Graph_Bトルク" hidden="1">#REF!</definedName>
    <definedName name="__123Graph_Bトルク新品1" hidden="1">#REF!</definedName>
    <definedName name="__123Graph_Bトルク倍率2" hidden="1">#REF!</definedName>
    <definedName name="__123Graph_Bメカロス" hidden="1">#REF!</definedName>
    <definedName name="__123Graph_B吸気圧" hidden="1">#REF!</definedName>
    <definedName name="__123Graph_B恒久のみ出図状" hidden="1">#REF!</definedName>
    <definedName name="__123Graph_B恒久出図状況" hidden="1">#REF!</definedName>
    <definedName name="__123Graph_B出力" hidden="1">#REF!</definedName>
    <definedName name="__123Graph_B排気圧" hidden="1">#REF!</definedName>
    <definedName name="__123Graph_Cトルク" hidden="1">#REF!</definedName>
    <definedName name="__123Graph_Cメカロス" hidden="1">#REF!</definedName>
    <definedName name="__123Graph_C吸気圧" hidden="1">#REF!</definedName>
    <definedName name="__123Graph_C出力" hidden="1">#REF!</definedName>
    <definedName name="__123Graph_C排気圧" hidden="1">#REF!</definedName>
    <definedName name="__123Graph_D恒久出図状況" hidden="1">#REF!</definedName>
    <definedName name="__123Graph_E恒久出図状況" hidden="1">#REF!</definedName>
    <definedName name="__123Graph_LBL_A" hidden="1">#REF!</definedName>
    <definedName name="__123Graph_LBL_A1" hidden="1">#REF!</definedName>
    <definedName name="__123Graph_LBL_AGVW1" hidden="1">#REF!</definedName>
    <definedName name="__123Graph_LBL_A恒久のみ出図状" hidden="1">#REF!</definedName>
    <definedName name="__123Graph_LBL_A恒久出図状況" hidden="1">#REF!</definedName>
    <definedName name="__123Graph_LBL_A設計別" hidden="1">#REF!</definedName>
    <definedName name="__123Graph_LBL_A分類" hidden="1">#REF!</definedName>
    <definedName name="__123Graph_LBL_A分類全" hidden="1">#REF!</definedName>
    <definedName name="__123Graph_LBL_Bトルク新品1" hidden="1">#REF!</definedName>
    <definedName name="__123Graph_LBL_Bトルク倍率2" hidden="1">#REF!</definedName>
    <definedName name="__123Graph_LBL_B恒久のみ出図状" hidden="1">#REF!</definedName>
    <definedName name="__123Graph_LBL_B恒久出図状況" hidden="1">#REF!</definedName>
    <definedName name="__123Graph_LBL_D恒久出図状況" hidden="1">#REF!</definedName>
    <definedName name="__123Graph_LBL_E恒久出図状況" hidden="1">#REF!</definedName>
    <definedName name="__123Graph_X" hidden="1">#REF!</definedName>
    <definedName name="__123Graph_X1" hidden="1">#REF!</definedName>
    <definedName name="__123Graph_XG1" hidden="1">#REF!</definedName>
    <definedName name="__123Graph_XGVW1" hidden="1">#REF!</definedName>
    <definedName name="__123Graph_Xトルク" hidden="1">#REF!</definedName>
    <definedName name="__123Graph_Xトルク新品1" hidden="1">#REF!</definedName>
    <definedName name="__123Graph_Xトルク倍率2" hidden="1">#REF!</definedName>
    <definedName name="__123Graph_Xメカロス" hidden="1">#REF!</definedName>
    <definedName name="__123Graph_X吸気圧" hidden="1">#REF!</definedName>
    <definedName name="__123Graph_X恒久のみ出図状" hidden="1">#REF!</definedName>
    <definedName name="__123Graph_X恒久出図状況" hidden="1">#REF!</definedName>
    <definedName name="__123Graph_X出力" hidden="1">#REF!</definedName>
    <definedName name="__123Graph_X状況" hidden="1">#REF!</definedName>
    <definedName name="__123Graph_X設計別" hidden="1">#REF!</definedName>
    <definedName name="__123Graph_X排気圧" hidden="1">#REF!</definedName>
    <definedName name="__123Graph_X分類" hidden="1">#REF!</definedName>
    <definedName name="__123Graph_X分類全" hidden="1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Ｅ４６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_Ｅ４６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_KEY1" hidden="1">#REF!</definedName>
    <definedName name="__KEY2" hidden="1">#REF!</definedName>
    <definedName name="_02_CAB機能部品">#REF!</definedName>
    <definedName name="_02_CAB部品">#REF!</definedName>
    <definedName name="_02_CHASSIS部品">#REF!</definedName>
    <definedName name="_1" hidden="1">#REF!</definedName>
    <definedName name="_1__123Graph_A????_3" hidden="1">#REF!</definedName>
    <definedName name="_1__123Graph_AV_CRANK" hidden="1">#REF!</definedName>
    <definedName name="_1__123Graph_Aｸﾞﾗﾌ_1" hidden="1">#REF!</definedName>
    <definedName name="_1__123Graph_Aｸﾞﾗﾌ_3" hidden="1">#REF!</definedName>
    <definedName name="_1_04_kawaguchi">#REF!</definedName>
    <definedName name="_1_2005_RETAILS_FOR_MITCH_BY_STATE___VIN">#REF!</definedName>
    <definedName name="_10.00_20_14PR">#REF!</definedName>
    <definedName name="_10__123Graph_Aｸﾞﾗﾌ_7" hidden="1">#REF!</definedName>
    <definedName name="_10__123Graph_Cｸﾞﾗﾌ_1" hidden="1">#REF!</definedName>
    <definedName name="_10__123Graph_Dｸﾞﾗﾌ_1" hidden="1">#REF!</definedName>
    <definedName name="_10__123Graph_E????_3" hidden="1">#REF!</definedName>
    <definedName name="_10__123Graph_Xｸﾞﾗﾌ_1" hidden="1">#REF!</definedName>
    <definedName name="_10_Q">#REF!</definedName>
    <definedName name="_11__123Graph_BV_CRANK" hidden="1">#REF!</definedName>
    <definedName name="_11__123Graph_Bｸﾞﾗﾌ_4" hidden="1">#REF!</definedName>
    <definedName name="_11__123Graph_Cｸﾞﾗﾌ_2" hidden="1">#REF!</definedName>
    <definedName name="_11__123Graph_Dｸﾞﾗﾌ_2" hidden="1">#REF!</definedName>
    <definedName name="_11__123Graph_Eｸﾞﾗﾌ_3" hidden="1">#REF!</definedName>
    <definedName name="_12.6H">#REF!</definedName>
    <definedName name="_12__123Graph_Bｸﾞﾗﾌ_1" hidden="1">#REF!</definedName>
    <definedName name="_12__123Graph_Bｸﾞﾗﾌ_5" hidden="1">#REF!</definedName>
    <definedName name="_12__123Graph_Cｸﾞﾗﾌ_3" hidden="1">#REF!</definedName>
    <definedName name="_12__123Graph_Dｸﾞﾗﾌ_3" hidden="1">#REF!</definedName>
    <definedName name="_12__123Graph_F????_3" hidden="1">#REF!</definedName>
    <definedName name="_13.5H">#REF!</definedName>
    <definedName name="_13__123Graph_Bｸﾞﾗﾌ_12" hidden="1">#REF!</definedName>
    <definedName name="_13__123Graph_Cｸﾞﾗﾌ_1" hidden="1">#REF!</definedName>
    <definedName name="_13__123Graph_D????_3" hidden="1">#REF!</definedName>
    <definedName name="_13__123Graph_Eｸﾞﾗﾌ_1" hidden="1">#REF!</definedName>
    <definedName name="_13__123Graph_Fｸﾞﾗﾌ_3" hidden="1">#REF!</definedName>
    <definedName name="_14.5H">#REF!</definedName>
    <definedName name="_14__123Graph_Bｸﾞﾗﾌ_2" hidden="1">#REF!</definedName>
    <definedName name="_14__123Graph_Cｸﾞﾗﾌ_2" hidden="1">#REF!</definedName>
    <definedName name="_14__123Graph_Dｸﾞﾗﾌ_1" hidden="1">#REF!</definedName>
    <definedName name="_14__123Graph_Eｸﾞﾗﾌ_2" hidden="1">#REF!</definedName>
    <definedName name="_14_4t_Ð_L">#REF!</definedName>
    <definedName name="_15.5H">#REF!</definedName>
    <definedName name="_15__123Graph_Bｸﾞﾗﾌ_3" hidden="1">#REF!</definedName>
    <definedName name="_15__123Graph_Dｸﾞﾗﾌ_2" hidden="1">#REF!</definedName>
    <definedName name="_15__123Graph_Eｸﾞﾗﾌ_3" hidden="1">#REF!</definedName>
    <definedName name="_15¿">#REF!</definedName>
    <definedName name="_16__123Graph_Bｸﾞﾗﾌ_4" hidden="1">#REF!</definedName>
    <definedName name="_16__123Graph_Cｸﾞﾗﾌ_4" hidden="1">#REF!</definedName>
    <definedName name="_16__123Graph_Dｸﾞﾗﾌ_3" hidden="1">#REF!</definedName>
    <definedName name="_16__123Graph_Fｸﾞﾗﾌ_1" hidden="1">#REF!</definedName>
    <definedName name="_16¼_a">#REF!</definedName>
    <definedName name="_17__123Graph_Bｸﾞﾗﾌ_5" hidden="1">#REF!</definedName>
    <definedName name="_17__123Graph_Cｸﾞﾗﾌ_5" hidden="1">#REF!</definedName>
    <definedName name="_17__123Graph_E????_3" hidden="1">#REF!</definedName>
    <definedName name="_17__123Graph_Fｸﾞﾗﾌ_2" hidden="1">#REF!</definedName>
    <definedName name="_17ÔÌÞÚ°·">#REF!</definedName>
    <definedName name="_18__123Graph_Cｸﾞﾗﾌ_1" hidden="1">#REF!</definedName>
    <definedName name="_18__123Graph_Dｸﾞﾗﾌ_1" hidden="1">#REF!</definedName>
    <definedName name="_18__123Graph_Eｸﾞﾗﾌ_1" hidden="1">#REF!</definedName>
    <definedName name="_18__123Graph_Fｸﾞﾗﾌ_3" hidden="1">#REF!</definedName>
    <definedName name="_18Ã_¼_a">#REF!</definedName>
    <definedName name="_19__123Graph_Cｸﾞﾗﾌ_12" hidden="1">#REF!</definedName>
    <definedName name="_19__123Graph_Dｸﾞﾗﾌ_2" hidden="1">#REF!</definedName>
    <definedName name="_19__123Graph_Eｸﾞﾗﾌ_2" hidden="1">#REF!</definedName>
    <definedName name="_19__123Graph_LBL_Aｸﾞﾗﾌ_1" hidden="1">#REF!</definedName>
    <definedName name="_19åÌÞÚ°·">#REF!</definedName>
    <definedName name="_1MM">#REF!</definedName>
    <definedName name="_1st">#REF!</definedName>
    <definedName name="_2" hidden="1">#REF!</definedName>
    <definedName name="_2__123Graph_A????_3" hidden="1">#REF!</definedName>
    <definedName name="_2__123Graph_Aｸﾞﾗﾌ_1" hidden="1">#REF!</definedName>
    <definedName name="_2__123Graph_Aｸﾞﾗﾌ_2" hidden="1">#REF!</definedName>
    <definedName name="_2__123Graph_Bｸﾞﾗﾌ_3" hidden="1">#REF!</definedName>
    <definedName name="_20__123Graph_Cｸﾞﾗﾌ_2" hidden="1">#REF!</definedName>
    <definedName name="_20__123Graph_Eｸﾞﾗﾌ_3" hidden="1">#REF!</definedName>
    <definedName name="_20__123Graph_LBL_Bｸﾞﾗﾌ_1" hidden="1">#REF!</definedName>
    <definedName name="_20ñ___\">#REF!</definedName>
    <definedName name="_21__123Graph_Cｸﾞﾗﾌ_3" hidden="1">#REF!</definedName>
    <definedName name="_21__123Graph_Eｸﾞﾗﾌ_1" hidden="1">#REF!</definedName>
    <definedName name="_21__123Graph_F????_3" hidden="1">#REF!</definedName>
    <definedName name="_21__123Graph_LBL_Cｸﾞﾗﾌ_1" hidden="1">#REF!</definedName>
    <definedName name="_21ø">#REF!</definedName>
    <definedName name="_22__123Graph_Cｸﾞﾗﾌ_4" hidden="1">#REF!</definedName>
    <definedName name="_22__123Graph_Eｸﾞﾗﾌ_2" hidden="1">#REF!</definedName>
    <definedName name="_22__123Graph_Fｸﾞﾗﾌ_1" hidden="1">#REF!</definedName>
    <definedName name="_22__123Graph_LBL_Dｸﾞﾗﾌ_1" hidden="1">#REF!</definedName>
    <definedName name="_22À²Ô_²½Þ">#REF!</definedName>
    <definedName name="_23__123Graph_Cｸﾞﾗﾌ_5" hidden="1">#REF!</definedName>
    <definedName name="_23__123Graph_Fｸﾞﾗﾌ_2" hidden="1">#REF!</definedName>
    <definedName name="_23__123Graph_LBL_Eｸﾞﾗﾌ_1" hidden="1">#REF!</definedName>
    <definedName name="_23ÄÙ¸_\">#REF!</definedName>
    <definedName name="_24__123Graph_Dｸﾞﾗﾌ_1" hidden="1">#REF!</definedName>
    <definedName name="_24__123Graph_Fｸﾞﾗﾌ_1" hidden="1">#REF!</definedName>
    <definedName name="_24__123Graph_Fｸﾞﾗﾌ_3" hidden="1">#REF!</definedName>
    <definedName name="_24__123Graph_LBL_Fｸﾞﾗﾌ_1" hidden="1">#REF!</definedName>
    <definedName name="_24HS1_" hidden="1">#REF!</definedName>
    <definedName name="_25__123Graph_Dｸﾞﾗﾌ_2" hidden="1">#REF!</definedName>
    <definedName name="_25__123Graph_Fｸﾞﾗﾌ_2" hidden="1">#REF!</definedName>
    <definedName name="_25__123Graph_LBL_Aｸﾞﾗﾌ_1" hidden="1">#REF!</definedName>
    <definedName name="_25__123Graph_LBL_Fｸﾞﾗﾌ_2" hidden="1">#REF!</definedName>
    <definedName name="_25HS10_">#REF!</definedName>
    <definedName name="_26__123Graph_Dｸﾞﾗﾌ_3" hidden="1">#REF!</definedName>
    <definedName name="_26__123Graph_LBL_Bｸﾞﾗﾌ_1" hidden="1">#REF!</definedName>
    <definedName name="_26__123Graph_Xｸﾞﾗﾌ_1" hidden="1">#REF!</definedName>
    <definedName name="_26_1生_CROSS_クエリー1">#REF!</definedName>
    <definedName name="_26HS11_">#REF!</definedName>
    <definedName name="_27__123Graph_Eｸﾞﾗﾌ_1" hidden="1">#REF!</definedName>
    <definedName name="_27__123Graph_LBL_Cｸﾞﾗﾌ_1" hidden="1">#REF!</definedName>
    <definedName name="_27__123Graph_Xｸﾞﾗﾌ_2" hidden="1">#REF!</definedName>
    <definedName name="_28__123Graph_Eｸﾞﾗﾌ_2" hidden="1">#REF!</definedName>
    <definedName name="_28__123Graph_LBL_Aｸﾞﾗﾌ_1" hidden="1">#REF!</definedName>
    <definedName name="_28__123Graph_LBL_Dｸﾞﾗﾌ_1" hidden="1">#REF!</definedName>
    <definedName name="_28_出庫リスト_クエリー">#REF!</definedName>
    <definedName name="_29__123Graph_Eｸﾞﾗﾌ_3" hidden="1">#REF!</definedName>
    <definedName name="_29__123Graph_LBL_Aｸﾞﾗﾌ_4" hidden="1">#REF!</definedName>
    <definedName name="_29__123Graph_LBL_Eｸﾞﾗﾌ_1" hidden="1">#REF!</definedName>
    <definedName name="_2nd">#REF!</definedName>
    <definedName name="_3">#REF!</definedName>
    <definedName name="_3__123Graph_Aｸﾞﾗﾌ_11" hidden="1">#REF!</definedName>
    <definedName name="_3__123Graph_Aｸﾞﾗﾌ_2" hidden="1">#REF!</definedName>
    <definedName name="_3__123Graph_Aｸﾞﾗﾌ_3" hidden="1">#REF!</definedName>
    <definedName name="_3__123Graph_BV_CRANK" hidden="1">#REF!</definedName>
    <definedName name="_3__123Graph_Cｸﾞﾗﾌ_3" hidden="1">#REF!</definedName>
    <definedName name="_3__123Graph_Xｸﾞﾗﾌ_1" hidden="1">#REF!</definedName>
    <definedName name="_30__123Graph_Fｸﾞﾗﾌ_1" hidden="1">#REF!</definedName>
    <definedName name="_30__123Graph_LBL_Aｸﾞﾗﾌ_5" hidden="1">#REF!</definedName>
    <definedName name="_30__123Graph_LBL_Fｸﾞﾗﾌ_1" hidden="1">#REF!</definedName>
    <definedName name="_30HS15_" localSheetId="7">'Monthly 日程1006'!_30HS15_</definedName>
    <definedName name="_30HS15_">[0]!_30HS15_</definedName>
    <definedName name="_31__123Graph_Fｸﾞﾗﾌ_2" hidden="1">#REF!</definedName>
    <definedName name="_31__123Graph_LBL_Fｸﾞﾗﾌ_2" hidden="1">#REF!</definedName>
    <definedName name="_31HS2_" hidden="1">#REF!</definedName>
    <definedName name="_32__123Graph_Fｸﾞﾗﾌ_3" hidden="1">#REF!</definedName>
    <definedName name="_32__123Graph_LBL_Bｸﾞﾗﾌ_1" hidden="1">#REF!</definedName>
    <definedName name="_32__123Graph_Xｸﾞﾗﾌ_1" hidden="1">#REF!</definedName>
    <definedName name="_32HS3_" hidden="1">#REF!</definedName>
    <definedName name="_33__123Graph_LBL_AV_CRANK" hidden="1">#REF!</definedName>
    <definedName name="_33__123Graph_LBL_Bｸﾞﾗﾌ_4" hidden="1">#REF!</definedName>
    <definedName name="_33__123Graph_Xｸﾞﾗﾌ_2" hidden="1">#REF!</definedName>
    <definedName name="_33HS4_" hidden="1">#REF!</definedName>
    <definedName name="_34__123Graph_LBL_Aｸﾞﾗﾌ_1" hidden="1">#REF!</definedName>
    <definedName name="_34__123Graph_LBL_Bｸﾞﾗﾌ_5" hidden="1">#REF!</definedName>
    <definedName name="_34HS5_" hidden="1">#REF!</definedName>
    <definedName name="_35__123Graph_LBL_Aｸﾞﾗﾌ_4" hidden="1">#REF!</definedName>
    <definedName name="_35__123Graph_LBL_Cｸﾞﾗﾌ_1" hidden="1">#REF!</definedName>
    <definedName name="_35HS6_" hidden="1">#REF!</definedName>
    <definedName name="_36__123Graph_LBL_Aｸﾞﾗﾌ_5" hidden="1">#REF!</definedName>
    <definedName name="_36__123Graph_LBL_Cｸﾞﾗﾌ_4" hidden="1">#REF!</definedName>
    <definedName name="_36HS7_" hidden="1">#REF!</definedName>
    <definedName name="_37__123Graph_LBL_BV_CRANK" hidden="1">#REF!</definedName>
    <definedName name="_37__123Graph_LBL_Cｸﾞﾗﾌ_5" hidden="1">#REF!</definedName>
    <definedName name="_37HS8_" hidden="1">#REF!</definedName>
    <definedName name="_38__123Graph_LBL_Bｸﾞﾗﾌ_1" hidden="1">#REF!</definedName>
    <definedName name="_38__123Graph_LBL_Dｸﾞﾗﾌ_1" hidden="1">#REF!</definedName>
    <definedName name="_38HS9_">#REF!</definedName>
    <definedName name="_39__123Graph_LBL_Bｸﾞﾗﾌ_4" hidden="1">#REF!</definedName>
    <definedName name="_39__123Graph_LBL_Eｸﾞﾗﾌ_1" hidden="1">#REF!</definedName>
    <definedName name="_39ÌÞÚ_·_í_Þ">#REF!</definedName>
    <definedName name="_3rd">#REF!</definedName>
    <definedName name="_4" hidden="1">#REF!</definedName>
    <definedName name="_4__123Graph_Aｸﾞﾗﾌ_12" hidden="1">#REF!</definedName>
    <definedName name="_4__123Graph_Aｸﾞﾗﾌ_3" hidden="1">#REF!</definedName>
    <definedName name="_4__123Graph_B????_3" hidden="1">#REF!</definedName>
    <definedName name="_4__123Graph_Bｸﾞﾗﾌ_1" hidden="1">#REF!</definedName>
    <definedName name="_4__123Graph_Dｸﾞﾗﾌ_3" hidden="1">#REF!</definedName>
    <definedName name="_4__123Graph_Xｸﾞﾗﾌ_2" hidden="1">#REF!</definedName>
    <definedName name="_4_5t.ÃÞ¨½¸">#REF!</definedName>
    <definedName name="_4_5t.STD">#REF!</definedName>
    <definedName name="_4_5t.ﾃﾞｨｽｸ">#REF!</definedName>
    <definedName name="_40__123Graph_LBL_Bｸﾞﾗﾌ_5" hidden="1">#REF!</definedName>
    <definedName name="_40__123Graph_LBL_Fｸﾞﾗﾌ_1" hidden="1">#REF!</definedName>
    <definedName name="_41__123Graph_LBL_Cｸﾞﾗﾌ_1" hidden="1">#REF!</definedName>
    <definedName name="_41__123Graph_LBL_Fｸﾞﾗﾌ_2" hidden="1">#REF!</definedName>
    <definedName name="_42__123Graph_LBL_Cｸﾞﾗﾌ_4" hidden="1">#REF!</definedName>
    <definedName name="_43__123Graph_LBL_Cｸﾞﾗﾌ_5" hidden="1">#REF!</definedName>
    <definedName name="_43__123Graph_Xｸﾞﾗﾌ_1" hidden="1">#REF!</definedName>
    <definedName name="_44__123Graph_LBL_Dｸﾞﾗﾌ_1" hidden="1">#REF!</definedName>
    <definedName name="_44__123Graph_Xｸﾞﾗﾌ_2" hidden="1">#REF!</definedName>
    <definedName name="_45__123Graph_LBL_Eｸﾞﾗﾌ_1" hidden="1">#REF!</definedName>
    <definedName name="_45__123Graph_Xｸﾞﾗﾌ_4" hidden="1">#REF!</definedName>
    <definedName name="_46__123Graph_LBL_Fｸﾞﾗﾌ_1" hidden="1">#REF!</definedName>
    <definedName name="_46__123Graph_Xｸﾞﾗﾌ_5" hidden="1">#REF!</definedName>
    <definedName name="_47__123Graph_LBL_Fｸﾞﾗﾌ_2" hidden="1">#REF!</definedName>
    <definedName name="_48__123Graph_XV_CRANK" hidden="1">#REF!</definedName>
    <definedName name="_49__123Graph_Xｸﾞﾗﾌ_1" hidden="1">#REF!</definedName>
    <definedName name="_4th">#REF!</definedName>
    <definedName name="_4t巾広">#REF!</definedName>
    <definedName name="_5" hidden="1">#REF!</definedName>
    <definedName name="_5__123Graph_Aｸﾞﾗﾌ_2" hidden="1">#REF!</definedName>
    <definedName name="_5__123Graph_Aｸﾞﾗﾌ_4" hidden="1">#REF!</definedName>
    <definedName name="_5__123Graph_B????_3" hidden="1">#REF!</definedName>
    <definedName name="_5__123Graph_Bｸﾞﾗﾌ_2" hidden="1">#REF!</definedName>
    <definedName name="_5__123Graph_Bｸﾞﾗﾌ_3" hidden="1">#REF!</definedName>
    <definedName name="_5__123Graph_Eｸﾞﾗﾌ_3" hidden="1">#REF!</definedName>
    <definedName name="_5__123Graph_LBL_AV_CRANK" hidden="1">#REF!</definedName>
    <definedName name="_50__123Graph_Xｸﾞﾗﾌ_11" hidden="1">#REF!</definedName>
    <definedName name="_51__123Graph_Xｸﾞﾗﾌ_12" hidden="1">#REF!</definedName>
    <definedName name="_52__123Graph_Xｸﾞﾗﾌ_2" hidden="1">#REF!</definedName>
    <definedName name="_53__123Graph_Xｸﾞﾗﾌ_4" hidden="1">#REF!</definedName>
    <definedName name="_54__123Graph_Xｸﾞﾗﾌ_5" hidden="1">#REF!</definedName>
    <definedName name="_55__123Graph_Xｸﾞﾗﾌ_6" hidden="1">#REF!</definedName>
    <definedName name="_56__123Graph_Xｸﾞﾗﾌ_7" hidden="1">#REF!</definedName>
    <definedName name="_5G">#REF!</definedName>
    <definedName name="_5th">#REF!</definedName>
    <definedName name="_6" hidden="1">#REF!</definedName>
    <definedName name="_6__123Graph_Aｸﾞﾗﾌ_3" hidden="1">#REF!</definedName>
    <definedName name="_6__123Graph_Aｸﾞﾗﾌ_5" hidden="1">#REF!</definedName>
    <definedName name="_6__123Graph_Bｸﾞﾗﾌ_1" hidden="1">#REF!</definedName>
    <definedName name="_6__123Graph_Bｸﾞﾗﾌ_3" hidden="1">#REF!</definedName>
    <definedName name="_6__123Graph_C????_3" hidden="1">#REF!</definedName>
    <definedName name="_6__123Graph_Fｸﾞﾗﾌ_3" hidden="1">#REF!</definedName>
    <definedName name="_6__123Graph_LBL_Aｸﾞﾗﾌ_1" hidden="1">#REF!</definedName>
    <definedName name="_6HE1_TCN">#REF!</definedName>
    <definedName name="_6HE1_TCS">#REF!</definedName>
    <definedName name="_6HH1_N">#REF!</definedName>
    <definedName name="_6HH1_S">#REF!</definedName>
    <definedName name="_6th">#REF!</definedName>
    <definedName name="_7__123Graph_Aｸﾞﾗﾌ_4" hidden="1">#REF!</definedName>
    <definedName name="_7__123Graph_Bｸﾞﾗﾌ_2" hidden="1">#REF!</definedName>
    <definedName name="_7__123Graph_Cｸﾞﾗﾌ_1" hidden="1">#REF!</definedName>
    <definedName name="_7__123Graph_Cｸﾞﾗﾌ_3" hidden="1">#REF!</definedName>
    <definedName name="_7__123Graph_LBL_BV_CRANK" hidden="1">#REF!</definedName>
    <definedName name="_7t">#REF!</definedName>
    <definedName name="_7th">#REF!</definedName>
    <definedName name="_8.5_Q">#REF!</definedName>
    <definedName name="_8__123Graph_Aｸﾞﾗﾌ_5" hidden="1">#REF!</definedName>
    <definedName name="_8__123Graph_Bｸﾞﾗﾌ_1" hidden="1">#REF!</definedName>
    <definedName name="_8__123Graph_Bｸﾞﾗﾌ_3" hidden="1">#REF!</definedName>
    <definedName name="_8__123Graph_Cｸﾞﾗﾌ_2" hidden="1">#REF!</definedName>
    <definedName name="_8__123Graph_D????_3" hidden="1">#REF!</definedName>
    <definedName name="_8__123Graph_LBL_Bｸﾞﾗﾌ_1" hidden="1">#REF!</definedName>
    <definedName name="_8_Q">#REF!</definedName>
    <definedName name="_9__123Graph_Aｸﾞﾗﾌ_6" hidden="1">#REF!</definedName>
    <definedName name="_9__123Graph_Bｸﾞﾗﾌ_2" hidden="1">#REF!</definedName>
    <definedName name="_9__123Graph_C????_3" hidden="1">#REF!</definedName>
    <definedName name="_9__123Graph_Cｸﾞﾗﾌ_3" hidden="1">#REF!</definedName>
    <definedName name="_9__123Graph_Dｸﾞﾗﾌ_3" hidden="1">#REF!</definedName>
    <definedName name="_9__123Graph_XV_CRANK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MO_UniqueIdentifier" hidden="1">"'a13969e8-1679-4308-b1fb-35a55c3ca7e2'"</definedName>
    <definedName name="_Dist_Bin" hidden="1">#REF!</definedName>
    <definedName name="_EMD２" localSheetId="7">'Monthly 日程1006'!_EMD２</definedName>
    <definedName name="_EMD２">[0]!_EMD２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xlnm._FilterDatabase" localSheetId="5" hidden="1">'25-43-D'!$A$1:$W$25</definedName>
    <definedName name="_xlnm._FilterDatabase" localSheetId="3" hidden="1">'25-45ｰD'!$A$1:$Y$1</definedName>
    <definedName name="_xlnm._FilterDatabase" localSheetId="0" hidden="1">'25-45W'!$A$4:$AJ$43</definedName>
    <definedName name="_xlnm._FilterDatabase" localSheetId="1" hidden="1">ピッキングマスタ作成台帳!$A$1:$L$591</definedName>
    <definedName name="_xlnm._FilterDatabase" hidden="1">#REF!</definedName>
    <definedName name="_HAN02">#REF!</definedName>
    <definedName name="_HAN03">#REF!</definedName>
    <definedName name="_Key1" hidden="1">#REF!</definedName>
    <definedName name="_Key2" hidden="1">#REF!</definedName>
    <definedName name="_MC001">#REF!</definedName>
    <definedName name="_MC002">#REF!</definedName>
    <definedName name="_MC003">#REF!</definedName>
    <definedName name="_MC004">#REF!</definedName>
    <definedName name="_MC005">#REF!</definedName>
    <definedName name="_MC006">#REF!</definedName>
    <definedName name="_MC007">#REF!</definedName>
    <definedName name="_MC008">#REF!</definedName>
    <definedName name="_MC009">#REF!</definedName>
    <definedName name="_MC010">#REF!</definedName>
    <definedName name="_MC011">#REF!</definedName>
    <definedName name="_MC012">#REF!</definedName>
    <definedName name="_MC013">#REF!</definedName>
    <definedName name="_MC014">#REF!</definedName>
    <definedName name="_MC015">#REF!</definedName>
    <definedName name="_MC016">#REF!</definedName>
    <definedName name="_MC017">#REF!</definedName>
    <definedName name="_MC018">#REF!</definedName>
    <definedName name="_MC019">#REF!</definedName>
    <definedName name="_MC020">#REF!</definedName>
    <definedName name="_MC021">#REF!</definedName>
    <definedName name="_MC022">#REF!</definedName>
    <definedName name="_MC023">#REF!</definedName>
    <definedName name="_MC024">#REF!</definedName>
    <definedName name="_MC026">#REF!</definedName>
    <definedName name="_MC027">#REF!</definedName>
    <definedName name="_MC030">#REF!</definedName>
    <definedName name="_MC031">#REF!</definedName>
    <definedName name="_MC0404">#REF!</definedName>
    <definedName name="_MC100">#REF!</definedName>
    <definedName name="_MC101">#REF!</definedName>
    <definedName name="_MC102">#REF!</definedName>
    <definedName name="_MC103">#REF!</definedName>
    <definedName name="_MC105">#REF!</definedName>
    <definedName name="_MC106">#REF!</definedName>
    <definedName name="_MC107">#REF!</definedName>
    <definedName name="_MC108">#REF!</definedName>
    <definedName name="_MC109">#REF!</definedName>
    <definedName name="_MC110">#REF!</definedName>
    <definedName name="_MC111">#REF!</definedName>
    <definedName name="_MC112">#REF!</definedName>
    <definedName name="_MC113">#REF!</definedName>
    <definedName name="_MC114">#REF!</definedName>
    <definedName name="_MC120">#REF!</definedName>
    <definedName name="_MC121">#REF!</definedName>
    <definedName name="_MC122">#REF!</definedName>
    <definedName name="_MC123">#REF!</definedName>
    <definedName name="_MC124">#REF!</definedName>
    <definedName name="_MC125">#REF!</definedName>
    <definedName name="_MC126">#REF!</definedName>
    <definedName name="_MC127">#REF!</definedName>
    <definedName name="_MC128">#REF!</definedName>
    <definedName name="_MC130">#REF!</definedName>
    <definedName name="_MC131">#REF!</definedName>
    <definedName name="_MC132">#REF!</definedName>
    <definedName name="_MC133">#REF!</definedName>
    <definedName name="_MC135">#REF!</definedName>
    <definedName name="_MC140">#REF!</definedName>
    <definedName name="_MC150">#REF!</definedName>
    <definedName name="_MC151">#REF!</definedName>
    <definedName name="_MC152">#REF!</definedName>
    <definedName name="_MC155">#REF!</definedName>
    <definedName name="_MC156">#REF!</definedName>
    <definedName name="_MC158">#REF!</definedName>
    <definedName name="_MC200">#REF!</definedName>
    <definedName name="_MC201">#REF!</definedName>
    <definedName name="_MC202">#REF!</definedName>
    <definedName name="_MC203">#REF!</definedName>
    <definedName name="_MC205">#REF!</definedName>
    <definedName name="_MC206">#REF!</definedName>
    <definedName name="_MC207">#REF!</definedName>
    <definedName name="_MC210">#REF!</definedName>
    <definedName name="_MC215">#REF!</definedName>
    <definedName name="_MC216">#REF!</definedName>
    <definedName name="_MC217">#REF!</definedName>
    <definedName name="_MC218">#REF!</definedName>
    <definedName name="_MC220">#REF!</definedName>
    <definedName name="_MC221">#REF!</definedName>
    <definedName name="_MC222">#REF!</definedName>
    <definedName name="_MC223">#REF!</definedName>
    <definedName name="_MC225">#REF!</definedName>
    <definedName name="_MC230">#REF!</definedName>
    <definedName name="_MC300">#REF!</definedName>
    <definedName name="_MC301">#REF!</definedName>
    <definedName name="_MC302">#REF!</definedName>
    <definedName name="_MC303">#REF!</definedName>
    <definedName name="_MC304">#REF!</definedName>
    <definedName name="_MC305">#REF!</definedName>
    <definedName name="_MC306">#REF!</definedName>
    <definedName name="_MC333">#REF!</definedName>
    <definedName name="_MC400">#REF!</definedName>
    <definedName name="_MC401">#REF!</definedName>
    <definedName name="_MC402">#REF!</definedName>
    <definedName name="_MC403">#REF!</definedName>
    <definedName name="_MC404">#REF!</definedName>
    <definedName name="_MC405">#REF!</definedName>
    <definedName name="_MC406">#REF!</definedName>
    <definedName name="_MC500">#REF!</definedName>
    <definedName name="_MC600">#REF!</definedName>
    <definedName name="_MC601">#REF!</definedName>
    <definedName name="_MC602">#REF!</definedName>
    <definedName name="_MC700">#REF!</definedName>
    <definedName name="_MC980">#REF!</definedName>
    <definedName name="_MCX210">#REF!</definedName>
    <definedName name="_MR001">#REF!</definedName>
    <definedName name="_MX110">#REF!</definedName>
    <definedName name="_MZ001">#REF!</definedName>
    <definedName name="_NULL_STR">#REF!</definedName>
    <definedName name="_Order1" localSheetId="7" hidden="1">0</definedName>
    <definedName name="_Order1" hidden="1">1</definedName>
    <definedName name="_Order2" localSheetId="7" hidden="1">0</definedName>
    <definedName name="_Order2" hidden="1">255</definedName>
    <definedName name="_R1">#REF!</definedName>
    <definedName name="_R2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2" hidden="1">#REF!</definedName>
    <definedName name="_SUB01">#REF!</definedName>
    <definedName name="_SUB02">#REF!</definedName>
    <definedName name="_SUB03">#REF!</definedName>
    <definedName name="_SUB04">#REF!</definedName>
    <definedName name="_W__">#REF!</definedName>
    <definedName name="_生新規部品ﾘｽﾄ_クエリー">#REF!</definedName>
    <definedName name="\">#REF!</definedName>
    <definedName name="\0">#REF!</definedName>
    <definedName name="\1">#REF!</definedName>
    <definedName name="\a">#REF!</definedName>
    <definedName name="\b">#REF!</definedName>
    <definedName name="\c">#N/A</definedName>
    <definedName name="\d" localSheetId="7">#REF!</definedName>
    <definedName name="\d">#N/A</definedName>
    <definedName name="\e">#REF!</definedName>
    <definedName name="\f" localSheetId="7">#N/A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takao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yamo">#REF!</definedName>
    <definedName name="\z" localSheetId="7">#REF!</definedName>
    <definedName name="\z">#N/A</definedName>
    <definedName name="●" localSheetId="7">'Monthly 日程1006'!●</definedName>
    <definedName name="●">[0]!●</definedName>
    <definedName name="・急“x">#REF!</definedName>
    <definedName name="・投資発生無し_5519">#REF!</definedName>
    <definedName name="A">#REF!</definedName>
    <definedName name="A_1">#REF!</definedName>
    <definedName name="A_FRR">#REF!</definedName>
    <definedName name="A_K1出庫リスト">#REF!</definedName>
    <definedName name="A_Line">#REF!</definedName>
    <definedName name="A_NPR">#REF!</definedName>
    <definedName name="A_SKW">#REF!</definedName>
    <definedName name="A_SUT">#REF!</definedName>
    <definedName name="A7_UPL">#REF!</definedName>
    <definedName name="aa">#REF!</definedName>
    <definedName name="AAA" localSheetId="7">'Monthly 日程1006'!AAA</definedName>
    <definedName name="aaa" hidden="1">#REF!</definedName>
    <definedName name="aaaa" hidden="1">#REF!</definedName>
    <definedName name="AAAAAA" hidden="1">#REF!</definedName>
    <definedName name="AAAAAAAA" hidden="1">#REF!</definedName>
    <definedName name="ab">#REF!</definedName>
    <definedName name="abc" hidden="1">#REF!</definedName>
    <definedName name="ABCD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ABCD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ac">#REF!</definedName>
    <definedName name="ad">#REF!</definedName>
    <definedName name="adfa" localSheetId="7">'Monthly 日程1006'!adfa</definedName>
    <definedName name="adfa">[0]!adfa</definedName>
    <definedName name="adfs">"Diagramm 25"</definedName>
    <definedName name="aef" localSheetId="7">'Monthly 日程1006'!aef</definedName>
    <definedName name="aef">[0]!aef</definedName>
    <definedName name="AnnProd.ASSEMBLER">#REF!</definedName>
    <definedName name="AnnProd.ASSEMBLER_FULLNAME">#REF!</definedName>
    <definedName name="AnnProd.ASSEMBLY_GROUP">#REF!</definedName>
    <definedName name="AnnProd.ASSEMBLY_GROUP_FULLNAME">#REF!</definedName>
    <definedName name="AnnProd.BRAND">#REF!</definedName>
    <definedName name="AnnProd.BRAND_FULLNAME">#REF!</definedName>
    <definedName name="AnnProd.CREATED_BY">#REF!</definedName>
    <definedName name="AnnProd.CREATED_DATE">#REF!</definedName>
    <definedName name="AnnProd.DATA_STATUS">#REF!</definedName>
    <definedName name="AnnProd.DOM_OR_EXP">#REF!</definedName>
    <definedName name="AnnProd.DOMESTIC_OR_EXPORT">#REF!</definedName>
    <definedName name="AnnProd.DRI_VEHICLE_TYPE">#REF!</definedName>
    <definedName name="AnnProd.DRITYPE">#REF!</definedName>
    <definedName name="AnnProd.DRITYPE_FULLNAME">#REF!</definedName>
    <definedName name="AnnProd.EOP">#REF!</definedName>
    <definedName name="AnnProd.EOPMONTH">#REF!</definedName>
    <definedName name="AnnProd.EOPYEAR">#REF!</definedName>
    <definedName name="AnnProd.GLOBAL_MODEL_NAME">#REF!</definedName>
    <definedName name="AnnProd.GLOBAL_SEGMENT">#REF!</definedName>
    <definedName name="AnnProd.GLOBAL_SEGMENT_FULLNAME">#REF!</definedName>
    <definedName name="AnnProd.GROUP_FULLNAME">#REF!</definedName>
    <definedName name="AnnProd.GROUP_NAME">#REF!</definedName>
    <definedName name="AnnProd.GVW_SECTOR">#REF!</definedName>
    <definedName name="AnnProd.GVW_SECTOR_FULLNAME">#REF!</definedName>
    <definedName name="AnnProd.KIT_COUNTRY">#REF!</definedName>
    <definedName name="AnnProd.KIT_COUNTRY_FULLNAME">#REF!</definedName>
    <definedName name="AnnProd.LAST_UPDATED_BY">#REF!</definedName>
    <definedName name="AnnProd.LAST_UPDATED_DATE">#REF!</definedName>
    <definedName name="AnnProd.LAUNCH_CALENDAR_YEAR">#REF!</definedName>
    <definedName name="AnnProd.LAUNCH_MODEL_YEAR">#REF!</definedName>
    <definedName name="AnnProd.MNEMONIC">#REF!</definedName>
    <definedName name="AnnProd.MODEL">#REF!</definedName>
    <definedName name="AnnProd.MODEL_CODE">#REF!</definedName>
    <definedName name="AnnProd.MODEL_FULLNAME">#REF!</definedName>
    <definedName name="AnnProd.MODEL_RANGE">#REF!</definedName>
    <definedName name="AnnProd.MODEL_RANGE_FULLNAME">#REF!</definedName>
    <definedName name="AnnProd.MODYR1ABOVE">#REF!</definedName>
    <definedName name="AnnProd.MODYR1BELOW">#REF!</definedName>
    <definedName name="AnnProd.MODYR2ABOVE">#REF!</definedName>
    <definedName name="AnnProd.MODYR2BELOW">#REF!</definedName>
    <definedName name="AnnProd.MYA1COMMENTS">#REF!</definedName>
    <definedName name="AnnProd.MYA2COMMENTS">#REF!</definedName>
    <definedName name="AnnProd.MYB1COMMENTS">#REF!</definedName>
    <definedName name="AnnProd.MYB2COMMENTS">#REF!</definedName>
    <definedName name="AnnProd.NA_SEGMENT">#REF!</definedName>
    <definedName name="AnnProd.NA_SEGMENT_FULLNAME">#REF!</definedName>
    <definedName name="AnnProd.OFFICIAL_VEHICLE_TYPE">#REF!</definedName>
    <definedName name="AnnProd.OFFTYPE">#REF!</definedName>
    <definedName name="AnnProd.OFFTYPE_FULLNAME">#REF!</definedName>
    <definedName name="AnnProd.PLANT">#REF!</definedName>
    <definedName name="AnnProd.PLANT_FULLNAME">#REF!</definedName>
    <definedName name="AnnProd.PLATFORM">#REF!</definedName>
    <definedName name="AnnProd.PLATFORM_FULLNAME">#REF!</definedName>
    <definedName name="AnnProd.PLATFORM_OWNER">#REF!</definedName>
    <definedName name="AnnProd.PLATFORM_OWNER_FULLNAME">#REF!</definedName>
    <definedName name="AnnProd.PRODTYPE">#REF!</definedName>
    <definedName name="AnnProd.PRODUCTION_TYPE">#REF!</definedName>
    <definedName name="AnnProd.RECORD_NUMBER">#REF!</definedName>
    <definedName name="AnnProd.REGION">#REF!</definedName>
    <definedName name="AnnProd.REGION_FULLNAME">#REF!</definedName>
    <definedName name="AnnProd.REMARKS">#REF!</definedName>
    <definedName name="AnnProd.SEGMENT">#REF!</definedName>
    <definedName name="AnnProd.SEGMENT_FULLNAME">#REF!</definedName>
    <definedName name="AnnProd.SOP">#REF!</definedName>
    <definedName name="AnnProd.SOPMONTH">#REF!</definedName>
    <definedName name="AnnProd.SOPYEAR">#REF!</definedName>
    <definedName name="AnnProd.SOURCE">#REF!</definedName>
    <definedName name="AnnProd.SOURCE_FULLNAME">#REF!</definedName>
    <definedName name="AnnProd.SPLIT_KEY">#REF!</definedName>
    <definedName name="AnnProd.TAX_INCENTIVISED">#REF!</definedName>
    <definedName name="AnnProd.UDF1_TYPE">#REF!</definedName>
    <definedName name="AnnProd.UDF2_TYPE">#REF!</definedName>
    <definedName name="AnnProd.UDF3_TYPE">#REF!</definedName>
    <definedName name="AnnProd.UDF4_TYPE">#REF!</definedName>
    <definedName name="AnnProd.USER_DEFINED1">#REF!</definedName>
    <definedName name="AnnProd.USER_DEFINED10">#REF!</definedName>
    <definedName name="AnnProd.USER_DEFINED11">#REF!</definedName>
    <definedName name="AnnProd.USER_DEFINED12">#REF!</definedName>
    <definedName name="AnnProd.USER_DEFINED2">#REF!</definedName>
    <definedName name="AnnProd.USER_DEFINED3">#REF!</definedName>
    <definedName name="AnnProd.USER_DEFINED4">#REF!</definedName>
    <definedName name="AnnProd.USER_DEFINED5">#REF!</definedName>
    <definedName name="AnnProd.USER_DEFINED6">#REF!</definedName>
    <definedName name="AnnProd.USER_DEFINED7">#REF!</definedName>
    <definedName name="AnnProd.USER_DEFINED8">#REF!</definedName>
    <definedName name="AnnProd.USER_DEFINED9">#REF!</definedName>
    <definedName name="AnnProd.V1985">#REF!</definedName>
    <definedName name="AnnProd.V1986">#REF!</definedName>
    <definedName name="AnnProd.V1987">#REF!</definedName>
    <definedName name="AnnProd.V1988">#REF!</definedName>
    <definedName name="AnnProd.V1989">#REF!</definedName>
    <definedName name="AnnProd.V1990">#REF!</definedName>
    <definedName name="AnnProd.V1991">#REF!</definedName>
    <definedName name="AnnProd.V1992">#REF!</definedName>
    <definedName name="AnnProd.V1993">#REF!</definedName>
    <definedName name="AnnProd.V1994">#REF!</definedName>
    <definedName name="AnnProd.V1995">#REF!</definedName>
    <definedName name="AnnProd.V1996">#REF!</definedName>
    <definedName name="AnnProd.V1997">#REF!</definedName>
    <definedName name="AnnProd.V1998">#REF!</definedName>
    <definedName name="AnnProd.V1999">#REF!</definedName>
    <definedName name="AnnProd.V2000">#REF!</definedName>
    <definedName name="AnnProd.V2001">#REF!</definedName>
    <definedName name="AnnProd.V2002">#REF!</definedName>
    <definedName name="AnnProd.V2003">#REF!</definedName>
    <definedName name="AnnProd.V2004">#REF!</definedName>
    <definedName name="AnnProd.V2005">#REF!</definedName>
    <definedName name="AnnProd.V2006">#REF!</definedName>
    <definedName name="AnnProd.V2007">#REF!</definedName>
    <definedName name="AnnProd.V2008">#REF!</definedName>
    <definedName name="AnnProd.V2009">#REF!</definedName>
    <definedName name="AnnProd.V2010">#REF!</definedName>
    <definedName name="AnnProd.V2011">#REF!</definedName>
    <definedName name="AnnProd.V2012">#REF!</definedName>
    <definedName name="AnnProd.V2013">#REF!</definedName>
    <definedName name="AnnProd.V2014">#REF!</definedName>
    <definedName name="AnnProd.V2015">#REF!</definedName>
    <definedName name="AnnProd.VOLUME_TYPE">#REF!</definedName>
    <definedName name="AnnSales.ASSEMBLER_FULLNAME">#REF!</definedName>
    <definedName name="AnnSales.ASSEMBLY_GROUP_FULLNAME">#REF!</definedName>
    <definedName name="AnnSales.BRAND_FULLNAME">#REF!</definedName>
    <definedName name="AnnSales.CREATED_BY">#REF!</definedName>
    <definedName name="AnnSales.CREATED_DATE">#REF!</definedName>
    <definedName name="AnnSales.DRI_VEHICLE_TYPE">#REF!</definedName>
    <definedName name="AnnSales.DRITYPE_FULLNAME">#REF!</definedName>
    <definedName name="AnnSales.GLOBAL_SEGMENT_FULLNAME">#REF!</definedName>
    <definedName name="AnnSales.GROUP_FULLNAME">#REF!</definedName>
    <definedName name="AnnSales.GVW_SECTOR_FULLNAME">#REF!</definedName>
    <definedName name="AnnSales.LAST_UPDATED_BY">#REF!</definedName>
    <definedName name="AnnSales.LAST_UPDATED_DATE">#REF!</definedName>
    <definedName name="AnnSales.MODEL_FULLNAME">#REF!</definedName>
    <definedName name="AnnSales.MODEL_RANGE_FULLNAME">#REF!</definedName>
    <definedName name="AnnSales.NA_SEGMENT_FULLNAME">#REF!</definedName>
    <definedName name="AnnSales.OFFTYPE_FULLNAME">#REF!</definedName>
    <definedName name="AnnSales.PLATFORM_FULLNAME">#REF!</definedName>
    <definedName name="AnnSales.PLATFORM_OWNER_FULLNAME">#REF!</definedName>
    <definedName name="AnnSales.REGION_FULLNAME">#REF!</definedName>
    <definedName name="AnnSales.SALE_COUNTRY_FULLNAME">#REF!</definedName>
    <definedName name="AnnSales.SEGMENT_FULLNAME">#REF!</definedName>
    <definedName name="AnnSales.SOURCE_FULLNAME">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VOLUME_TYPE">#REF!</definedName>
    <definedName name="AnnualProd.BRAND">#REF!</definedName>
    <definedName name="AnnualProd.GROUP_NAME">#REF!</definedName>
    <definedName name="AnnualProd.MODEL">#REF!</definedName>
    <definedName name="AnnualProd.PLATFORM">#REF!</definedName>
    <definedName name="AnnualProd.PLATFORM_FULLNAME">#REF!</definedName>
    <definedName name="AnnualProd.PLATFORM_OWNER">#REF!</definedName>
    <definedName name="AnnualProd.REGION_FULLNAME">#REF!</definedName>
    <definedName name="AnnualProd.SECTOR">#REF!</definedName>
    <definedName name="AnnualProd.SEGMENT">#REF!</definedName>
    <definedName name="AnnualProd.SOURCE">#REF!</definedName>
    <definedName name="AnnualProd.SOURCE_FULLNAME">#REF!</definedName>
    <definedName name="AnnualProd.V1997">#REF!</definedName>
    <definedName name="AnnualProd.V1998">#REF!</definedName>
    <definedName name="AnnualProd.V1999">#REF!</definedName>
    <definedName name="AnnualProd.V2000">#REF!</definedName>
    <definedName name="AnnualProd.V2001">#REF!</definedName>
    <definedName name="AnnualProd.V2002">#REF!</definedName>
    <definedName name="AnnualProd.V2003">#REF!</definedName>
    <definedName name="AnnualProd.V2004">#REF!</definedName>
    <definedName name="AnnualProd.V2005">#REF!</definedName>
    <definedName name="AnnualProd.V2006">#REF!</definedName>
    <definedName name="AnnualProd.V2007">#REF!</definedName>
    <definedName name="AnnualProd.V2008">#REF!</definedName>
    <definedName name="AnnualProd.V2009">#REF!</definedName>
    <definedName name="AnnualProd.V2010">#REF!</definedName>
    <definedName name="AnnualProd.V2011">#REF!</definedName>
    <definedName name="AnnualProd.V2012">#REF!</definedName>
    <definedName name="AnnualProd.V2013">#REF!</definedName>
    <definedName name="AnnualProd.V2014">#REF!</definedName>
    <definedName name="AnnualProd.V2015">#REF!</definedName>
    <definedName name="AnnualSale.ASSEMBLY_GROUP">#REF!</definedName>
    <definedName name="AnnualSale.BRAND">#REF!</definedName>
    <definedName name="AnnualSale.GROUP_FULLNAME">#REF!</definedName>
    <definedName name="AnnualSale.MODEL">#REF!</definedName>
    <definedName name="AnnualSale.OFFTYPE">#REF!</definedName>
    <definedName name="AnnualSale.REGION">#REF!</definedName>
    <definedName name="AnnualSale.REGION_FULLNAME">#REF!</definedName>
    <definedName name="AnnualSale.SALE_COUNTRY">#REF!</definedName>
    <definedName name="AnnualSale.SALE_COUNTRY_FULLNAME">#REF!</definedName>
    <definedName name="AnnualSale.SECTOR">#REF!</definedName>
    <definedName name="AnnualSale.SEGMENT">#REF!</definedName>
    <definedName name="AnnualSale.V1997">#REF!</definedName>
    <definedName name="AnnualSale.V1998">#REF!</definedName>
    <definedName name="AnnualSale.V1999">#REF!</definedName>
    <definedName name="AnnualSale.V2000">#REF!</definedName>
    <definedName name="AnnualSale.V2001">#REF!</definedName>
    <definedName name="AnnualSale.V2002">#REF!</definedName>
    <definedName name="AnnualSale.V2003">#REF!</definedName>
    <definedName name="AnnualSale.V2004">#REF!</definedName>
    <definedName name="AnnualSale.V2005">#REF!</definedName>
    <definedName name="AnnualSale.V2010">#REF!</definedName>
    <definedName name="AS">#REF!</definedName>
    <definedName name="AS2DocOpenMode" hidden="1">"AS2DocumentEdit"</definedName>
    <definedName name="ASMｻｰﾋﾞｽ">#REF!</definedName>
    <definedName name="ASM数量ｸﾘｱ">#REF!</definedName>
    <definedName name="ASM単品">#REF!</definedName>
    <definedName name="at" localSheetId="7">'Monthly 日程1006'!at</definedName>
    <definedName name="AT" hidden="1">#REF!</definedName>
    <definedName name="az">#REF!</definedName>
    <definedName name="B">#REF!</definedName>
    <definedName name="ba">#REF!</definedName>
    <definedName name="bb">#REF!</definedName>
    <definedName name="bbb" localSheetId="7">'Monthly 日程1006'!bbb</definedName>
    <definedName name="bbb" hidden="1">#REF!</definedName>
    <definedName name="BBBB" localSheetId="7">'Monthly 日程1006'!BBBB</definedName>
    <definedName name="BBBB">[0]!BBBB</definedName>
    <definedName name="bc">#REF!</definedName>
    <definedName name="Book1">#REF!</definedName>
    <definedName name="BU1_342">#REF!</definedName>
    <definedName name="BU1_CXZ">#REF!</definedName>
    <definedName name="BU1_FRR">#REF!</definedName>
    <definedName name="BU1_Line">#REF!</definedName>
    <definedName name="BU1_NKR">#REF!</definedName>
    <definedName name="BU1_NPR">#REF!</definedName>
    <definedName name="BU1_SKW">#REF!</definedName>
    <definedName name="BU1_TF">#REF!</definedName>
    <definedName name="BU1_UBS">#REF!</definedName>
    <definedName name="BU1_ﾀｲ">#REF!</definedName>
    <definedName name="BU2_342">#REF!</definedName>
    <definedName name="BU2_CXZ">#REF!</definedName>
    <definedName name="BU2_FRR">#REF!</definedName>
    <definedName name="BU2_Line">#REF!</definedName>
    <definedName name="BU2_NKR">#REF!</definedName>
    <definedName name="BU2_NPR">#REF!</definedName>
    <definedName name="BU2_SKW">#REF!</definedName>
    <definedName name="BU2_TF">#REF!</definedName>
    <definedName name="BU2_UBS">#REF!</definedName>
    <definedName name="BU2_ﾀｲ">#REF!</definedName>
    <definedName name="C_27">#REF!</definedName>
    <definedName name="C_CXZ">#REF!</definedName>
    <definedName name="C_FRR">#REF!</definedName>
    <definedName name="C_Line">#REF!</definedName>
    <definedName name="C_NKR">#REF!</definedName>
    <definedName name="C_NPR">#REF!</definedName>
    <definedName name="C_TF">#REF!</definedName>
    <definedName name="C_UBS">#REF!</definedName>
    <definedName name="ca">#REF!</definedName>
    <definedName name="CAD研報告">#REF!</definedName>
    <definedName name="cb">#REF!</definedName>
    <definedName name="cc">#REF!</definedName>
    <definedName name="cd">#REF!</definedName>
    <definedName name="cdf" hidden="1">#REF!</definedName>
    <definedName name="ce">#REF!</definedName>
    <definedName name="com" localSheetId="7">'Monthly 日程1006'!com</definedName>
    <definedName name="com">[0]!com</definedName>
    <definedName name="Content" localSheetId="7">'Monthly 日程1006'!Content</definedName>
    <definedName name="Content">[0]!Content</definedName>
    <definedName name="Contents" localSheetId="7">'Monthly 日程1006'!Contents</definedName>
    <definedName name="Contents">[0]!Contents</definedName>
    <definedName name="Cost" hidden="1">#REF!</definedName>
    <definedName name="Cover" localSheetId="7">'Monthly 日程1006'!Cover</definedName>
    <definedName name="Cover">[0]!Cover</definedName>
    <definedName name="cr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xlnm.Criteria">#REF!</definedName>
    <definedName name="Criteria_MI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V" hidden="1">#REF!</definedName>
    <definedName name="cvbh" hidden="1">#REF!</definedName>
    <definedName name="cvbn" hidden="1">#REF!</definedName>
    <definedName name="cvffr" hidden="1">#REF!</definedName>
    <definedName name="ＣＸＭ" hidden="1">#REF!</definedName>
    <definedName name="CYTDCHG">11</definedName>
    <definedName name="D" hidden="1">#REF!</definedName>
    <definedName name="D11E">#REF!</definedName>
    <definedName name="D11G">#REF!</definedName>
    <definedName name="D12C">#REF!</definedName>
    <definedName name="D12G">#REF!</definedName>
    <definedName name="D12H">#REF!</definedName>
    <definedName name="D12J">#REF!</definedName>
    <definedName name="D12L">#REF!</definedName>
    <definedName name="D14E">#REF!</definedName>
    <definedName name="D14F">#REF!</definedName>
    <definedName name="D14H">#REF!</definedName>
    <definedName name="D14K">#REF!</definedName>
    <definedName name="D14N">#REF!</definedName>
    <definedName name="D1A2C">#REF!</definedName>
    <definedName name="D1A2D">#REF!</definedName>
    <definedName name="D1A2E">#REF!</definedName>
    <definedName name="D1A2H">#REF!</definedName>
    <definedName name="D1A2J">#REF!</definedName>
    <definedName name="D1A2K">#REF!</definedName>
    <definedName name="D1A2L">#REF!</definedName>
    <definedName name="D1A2R">#REF!</definedName>
    <definedName name="D1C1">#REF!</definedName>
    <definedName name="D1C11C">#REF!</definedName>
    <definedName name="D1C2A">#REF!</definedName>
    <definedName name="D1C2B">#REF!</definedName>
    <definedName name="D1C2C">#REF!</definedName>
    <definedName name="D1C3">#REF!</definedName>
    <definedName name="D1C4">#REF!</definedName>
    <definedName name="D1C5A">#REF!</definedName>
    <definedName name="D1C5B">#REF!</definedName>
    <definedName name="D1C7A">#REF!</definedName>
    <definedName name="D1C7B">#REF!</definedName>
    <definedName name="D5C">#REF!</definedName>
    <definedName name="D5D">#REF!</definedName>
    <definedName name="D5E">#REF!</definedName>
    <definedName name="D5F">#REF!</definedName>
    <definedName name="D5G">#REF!</definedName>
    <definedName name="D5H3">#REF!</definedName>
    <definedName name="D5K">#REF!</definedName>
    <definedName name="D6M3">#REF!</definedName>
    <definedName name="D6N1">#REF!</definedName>
    <definedName name="D6N2">#REF!</definedName>
    <definedName name="D6Y2C">#REF!</definedName>
    <definedName name="D7A">#REF!</definedName>
    <definedName name="D7B1B2">#REF!</definedName>
    <definedName name="D9A">#REF!</definedName>
    <definedName name="D9B">#REF!</definedName>
    <definedName name="D9C">#REF!</definedName>
    <definedName name="da">#REF!</definedName>
    <definedName name="DATA">#REF!</definedName>
    <definedName name="_xlnm.Database">#REF!</definedName>
    <definedName name="Database_MI">#REF!</definedName>
    <definedName name="db">#REF!</definedName>
    <definedName name="dc">#REF!</definedName>
    <definedName name="dd">#REF!</definedName>
    <definedName name="DDA" hidden="1">#REF!</definedName>
    <definedName name="ddcvf" hidden="1">#REF!</definedName>
    <definedName name="ddd" localSheetId="7" hidden="1">{"'商品開発の概要-12'!$AP$16","'商品開発の概要-12'!$A$1:$AM$54"}</definedName>
    <definedName name="DDD">#REF!</definedName>
    <definedName name="dddd" localSheetId="7">'Monthly 日程1006'!dddd</definedName>
    <definedName name="DDDD" hidden="1">#REF!</definedName>
    <definedName name="ｄｄｓ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ｄｄｓ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de">#REF!</definedName>
    <definedName name="df">#REF!</definedName>
    <definedName name="DFAS" hidden="1">#REF!</definedName>
    <definedName name="dfvc" hidden="1">#REF!</definedName>
    <definedName name="DGGGGGGGG" hidden="1">#REF!</definedName>
    <definedName name="DP">#REF!</definedName>
    <definedName name="DPDハート評価項目2">#REF!</definedName>
    <definedName name="ds" hidden="1">#REF!</definedName>
    <definedName name="dssew" hidden="1">#REF!</definedName>
    <definedName name="Duble">#REF!</definedName>
    <definedName name="DUCT1">#REF!</definedName>
    <definedName name="e" hidden="1">#REF!</definedName>
    <definedName name="E_CXZ">#REF!</definedName>
    <definedName name="E_Line">#REF!</definedName>
    <definedName name="E_NPR">#REF!</definedName>
    <definedName name="E_SKW">#REF!</definedName>
    <definedName name="E_TF">#REF!</definedName>
    <definedName name="E11E">#REF!</definedName>
    <definedName name="E11G">#REF!</definedName>
    <definedName name="E12C">#REF!</definedName>
    <definedName name="E12H">#REF!</definedName>
    <definedName name="E12J">#REF!</definedName>
    <definedName name="E12L">#REF!</definedName>
    <definedName name="E14E">#REF!</definedName>
    <definedName name="E14F">#REF!</definedName>
    <definedName name="E14H">#REF!</definedName>
    <definedName name="E14K">#REF!</definedName>
    <definedName name="E14N">#REF!</definedName>
    <definedName name="E1A2C">#REF!</definedName>
    <definedName name="E1A2D">#REF!</definedName>
    <definedName name="E1A2E">#REF!</definedName>
    <definedName name="E1A2H">#REF!</definedName>
    <definedName name="E1A2J">#REF!</definedName>
    <definedName name="E1A2K">#REF!</definedName>
    <definedName name="E1A2L">#REF!</definedName>
    <definedName name="E1A2R">#REF!</definedName>
    <definedName name="E1C1">#REF!</definedName>
    <definedName name="E1C11C">#REF!</definedName>
    <definedName name="E1C2A">#REF!</definedName>
    <definedName name="E1C2B">#REF!</definedName>
    <definedName name="E1C2C">#REF!</definedName>
    <definedName name="E1C3">#REF!</definedName>
    <definedName name="E1C4">#REF!</definedName>
    <definedName name="E1C5A">#REF!</definedName>
    <definedName name="E1C5B">#REF!</definedName>
    <definedName name="E1C7A">#REF!</definedName>
    <definedName name="E1C7B">#REF!</definedName>
    <definedName name="Ｅ４６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Ｅ４６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E5C">#REF!</definedName>
    <definedName name="E5D">#REF!</definedName>
    <definedName name="E5E">#REF!</definedName>
    <definedName name="E5F">#REF!</definedName>
    <definedName name="E5G">#REF!</definedName>
    <definedName name="E5H3">#REF!</definedName>
    <definedName name="E5K">#REF!</definedName>
    <definedName name="E6M3">#REF!</definedName>
    <definedName name="E6N1">#REF!</definedName>
    <definedName name="E6N2">#REF!</definedName>
    <definedName name="E6Y2C">#REF!</definedName>
    <definedName name="E7A">#REF!</definedName>
    <definedName name="E7B1B2">#REF!</definedName>
    <definedName name="E9A">#REF!</definedName>
    <definedName name="E9B">#REF!</definedName>
    <definedName name="E9C">#REF!</definedName>
    <definedName name="ea">#REF!</definedName>
    <definedName name="eb">#REF!</definedName>
    <definedName name="ec">#REF!</definedName>
    <definedName name="ECCC">#REF!</definedName>
    <definedName name="ECM">#REF!</definedName>
    <definedName name="ed">#REF!</definedName>
    <definedName name="edds" hidden="1">#REF!</definedName>
    <definedName name="ee">#REF!</definedName>
    <definedName name="EEE">#REF!</definedName>
    <definedName name="ef">#REF!</definedName>
    <definedName name="eg">#REF!</definedName>
    <definedName name="EMS" localSheetId="7">'Monthly 日程1006'!EMS</definedName>
    <definedName name="EMS">[0]!EMS</definedName>
    <definedName name="ENG">#REF!</definedName>
    <definedName name="errf" hidden="1">#REF!</definedName>
    <definedName name="erty" hidden="1">#REF!</definedName>
    <definedName name="_xlnm.Extract">#REF!</definedName>
    <definedName name="Extract_MI">#REF!</definedName>
    <definedName name="F" hidden="1">#REF!</definedName>
    <definedName name="F_BLS">#REF!</definedName>
    <definedName name="F_CXZ">#REF!</definedName>
    <definedName name="F_FRR">#REF!</definedName>
    <definedName name="F_Line">#REF!</definedName>
    <definedName name="F_NKR">#REF!</definedName>
    <definedName name="F_NPR">#REF!</definedName>
    <definedName name="F_R">#REF!</definedName>
    <definedName name="F_SKW">#REF!</definedName>
    <definedName name="F_TF">#REF!</definedName>
    <definedName name="F_UBS">#REF!</definedName>
    <definedName name="F_ﾀｲ">#REF!</definedName>
    <definedName name="fa">#REF!</definedName>
    <definedName name="FAY" hidden="1">#REF!</definedName>
    <definedName name="fb">#REF!</definedName>
    <definedName name="fc">#REF!</definedName>
    <definedName name="fd">#REF!</definedName>
    <definedName name="ff" localSheetId="7">'Monthly 日程1006'!ff</definedName>
    <definedName name="ff">[0]!ff</definedName>
    <definedName name="fff" hidden="1">#REF!</definedName>
    <definedName name="FFFG" hidden="1">#REF!</definedName>
    <definedName name="FIMOD" localSheetId="7">'Monthly 日程1006'!FIMOD</definedName>
    <definedName name="FIMOD">[0]!FIMOD</definedName>
    <definedName name="FIMOD_temp" localSheetId="7">'Monthly 日程1006'!FIMOD_temp</definedName>
    <definedName name="FIMOD_temp">[0]!FIMOD_temp</definedName>
    <definedName name="FIMOE" localSheetId="7">'Monthly 日程1006'!FIMOE</definedName>
    <definedName name="FIMOE">[0]!FIMOE</definedName>
    <definedName name="Format">#REF!</definedName>
    <definedName name="FRR">#REF!</definedName>
    <definedName name="Ft.BEF">#REF!</definedName>
    <definedName name="Ft.D">#REF!</definedName>
    <definedName name="Ft.dw">#REF!</definedName>
    <definedName name="FTEA" hidden="1">#REF!</definedName>
    <definedName name="ftgb" hidden="1">#REF!</definedName>
    <definedName name="fuka">#REF!</definedName>
    <definedName name="FUSE2">#REF!</definedName>
    <definedName name="fvgr" hidden="1">#REF!</definedName>
    <definedName name="FVZ">#REF!</definedName>
    <definedName name="FYHH" hidden="1">#REF!</definedName>
    <definedName name="G" hidden="1">#REF!</definedName>
    <definedName name="ga">#REF!</definedName>
    <definedName name="gb">#REF!</definedName>
    <definedName name="gc">#REF!</definedName>
    <definedName name="gd">#REF!</definedName>
    <definedName name="ge">#REF!</definedName>
    <definedName name="gf">#REF!</definedName>
    <definedName name="gfdd" hidden="1">#REF!</definedName>
    <definedName name="GFG" hidden="1">#REF!</definedName>
    <definedName name="gg">#REF!</definedName>
    <definedName name="ｇｇｇ" hidden="1">#REF!</definedName>
    <definedName name="gh">#REF!</definedName>
    <definedName name="GSHJ" hidden="1">#REF!</definedName>
    <definedName name="gt" hidden="1">#REF!</definedName>
    <definedName name="gtf" hidden="1">#REF!</definedName>
    <definedName name="GVW">#REF!</definedName>
    <definedName name="GVW_">#REF!</definedName>
    <definedName name="H" hidden="1">#REF!</definedName>
    <definedName name="H_CXZ">#REF!</definedName>
    <definedName name="H_FRR">#REF!</definedName>
    <definedName name="H_Line">#REF!</definedName>
    <definedName name="H_NKR">#REF!</definedName>
    <definedName name="H_NPR">#REF!</definedName>
    <definedName name="H_TF">#REF!</definedName>
    <definedName name="H_UBS">#REF!</definedName>
    <definedName name="H_ﾀｲ">#REF!</definedName>
    <definedName name="HA" localSheetId="7">#N/A</definedName>
    <definedName name="ha">#REF!</definedName>
    <definedName name="hb">#REF!</definedName>
    <definedName name="hc">#REF!</definedName>
    <definedName name="Header">#REF!</definedName>
    <definedName name="HGDAH" hidden="1">#REF!</definedName>
    <definedName name="HGF" hidden="1">#REF!</definedName>
    <definedName name="HGJEDK" hidden="1">#REF!</definedName>
    <definedName name="HIK" hidden="1">#REF!</definedName>
    <definedName name="hj" hidden="1">#REF!</definedName>
    <definedName name="HJLKJ" hidden="1">#REF!</definedName>
    <definedName name="hjn" hidden="1">#REF!</definedName>
    <definedName name="hn" hidden="1">#REF!</definedName>
    <definedName name="HS" hidden="1">#REF!</definedName>
    <definedName name="HSA" localSheetId="7">'Monthly 日程1006'!HSA</definedName>
    <definedName name="HSA">[0]!HSA</definedName>
    <definedName name="HSB">#REF!</definedName>
    <definedName name="HSｃ" localSheetId="7">'Monthly 日程1006'!HSｃ</definedName>
    <definedName name="HSｃ">[0]!HSｃ</definedName>
    <definedName name="HSD" localSheetId="7">'Monthly 日程1006'!HSD</definedName>
    <definedName name="HSD">[0]!HSD</definedName>
    <definedName name="HSDF" hidden="1">#REF!</definedName>
    <definedName name="HSE" localSheetId="7">'Monthly 日程1006'!HSE</definedName>
    <definedName name="HSE">[0]!HSE</definedName>
    <definedName name="HSｇ" localSheetId="7">'Monthly 日程1006'!HSｇ</definedName>
    <definedName name="HSｇ">[0]!HSｇ</definedName>
    <definedName name="HSH" hidden="1">#REF!</definedName>
    <definedName name="HSNO">#REF!</definedName>
    <definedName name="HSｓｓｓ">#REF!</definedName>
    <definedName name="HST" localSheetId="7">'Monthly 日程1006'!HST</definedName>
    <definedName name="HST">[0]!HST</definedName>
    <definedName name="HSｘ" localSheetId="7">'Monthly 日程1006'!HSｘ</definedName>
    <definedName name="HSｘ">[0]!HSｘ</definedName>
    <definedName name="HSｚｚｚ" localSheetId="7">'Monthly 日程1006'!HSｚｚｚ</definedName>
    <definedName name="HSｚｚｚ">[0]!HSｚｚｚ</definedName>
    <definedName name="HSあ" localSheetId="7">'Monthly 日程1006'!HSあ</definedName>
    <definedName name="HSあ">[0]!HSあ</definedName>
    <definedName name="HSコメント">#REF!</definedName>
    <definedName name="HTML_CodePage" hidden="1">932</definedName>
    <definedName name="HTML_Control" localSheetId="7" hidden="1">{"'商品開発の概要-12'!$AP$16","'商品開発の概要-12'!$A$1:$AM$54"}</definedName>
    <definedName name="HTML_Control" hidden="1">{"'生準業務管理規定7版 (2)'!$A$1:$K$103"}</definedName>
    <definedName name="HTML_Description" hidden="1">""</definedName>
    <definedName name="HTML_Email" hidden="1">""</definedName>
    <definedName name="HTML_Header" localSheetId="7" hidden="1">"商品開発の概要-12"</definedName>
    <definedName name="HTML_Header" hidden="1">"生準業務管理規定7版 (2)"</definedName>
    <definedName name="HTML_LastUpdate" localSheetId="7" hidden="1">"01/08/24"</definedName>
    <definedName name="HTML_LastUpdate" hidden="1">"02/07/12"</definedName>
    <definedName name="HTML_LineAfter" hidden="1">FALSE</definedName>
    <definedName name="HTML_LineBefore" hidden="1">FALSE</definedName>
    <definedName name="HTML_Name" localSheetId="7" hidden="1">"A212570"</definedName>
    <definedName name="HTML_Name" hidden="1">"システムＧ"</definedName>
    <definedName name="HTML_OBDlg2" hidden="1">TRUE</definedName>
    <definedName name="HTML_OBDlg4" hidden="1">TRUE</definedName>
    <definedName name="HTML_OS" hidden="1">0</definedName>
    <definedName name="HTML_PathFile" localSheetId="7" hidden="1">"C:\My Documents\削除可\MyHTML.htm"</definedName>
    <definedName name="HTML_PathFile" hidden="1">"C:\WINDOWS\ﾃﾞｽｸﾄｯﾌﾟ\MyMyHTML.htm"</definedName>
    <definedName name="HTML_Title" localSheetId="7" hidden="1">"７７１設計企画書010823"</definedName>
    <definedName name="HTML_Title" hidden="1">"生準業務規定"</definedName>
    <definedName name="hyy" hidden="1">#REF!</definedName>
    <definedName name="I" hidden="1">#REF!</definedName>
    <definedName name="I_Line">#REF!</definedName>
    <definedName name="I_TF">#REF!</definedName>
    <definedName name="I_UBS">#REF!</definedName>
    <definedName name="I_UGS">#REF!</definedName>
    <definedName name="Ì§²ÅÙ">#REF!</definedName>
    <definedName name="Ì§²ÅÙALL">#REF!</definedName>
    <definedName name="ia">#REF!</definedName>
    <definedName name="ib">#REF!</definedName>
    <definedName name="ic">#REF!</definedName>
    <definedName name="ikj" hidden="1">#REF!</definedName>
    <definedName name="InjMain" localSheetId="7">'Monthly 日程1006'!InjMain</definedName>
    <definedName name="InjMain">[0]!InjMain</definedName>
    <definedName name="iujh" hidden="1">#REF!</definedName>
    <definedName name="Ｊ" localSheetId="7">'Monthly 日程1006'!Ｊ</definedName>
    <definedName name="J" hidden="1">#REF!</definedName>
    <definedName name="J_FRR">#REF!</definedName>
    <definedName name="J_Line">#REF!</definedName>
    <definedName name="J_NKR">#REF!</definedName>
    <definedName name="J_NPR">#REF!</definedName>
    <definedName name="JDG" hidden="1">#REF!</definedName>
    <definedName name="JJJJ" hidden="1">#REF!</definedName>
    <definedName name="JKL" hidden="1">#REF!</definedName>
    <definedName name="jkm" hidden="1">#REF!</definedName>
    <definedName name="jkol" hidden="1">#REF!</definedName>
    <definedName name="jyh" hidden="1">#REF!</definedName>
    <definedName name="Ｋ" localSheetId="7">'Monthly 日程1006'!Ｋ</definedName>
    <definedName name="K" hidden="1">#REF!</definedName>
    <definedName name="ka">#REF!</definedName>
    <definedName name="kb">#REF!</definedName>
    <definedName name="kc">#REF!</definedName>
    <definedName name="KHG" hidden="1">#REF!</definedName>
    <definedName name="kjhu" hidden="1">#REF!</definedName>
    <definedName name="kjiu" hidden="1">#REF!</definedName>
    <definedName name="KJL" hidden="1">#REF!</definedName>
    <definedName name="kk">#REF!</definedName>
    <definedName name="ｋｋｋ" hidden="1">#REF!</definedName>
    <definedName name="ｋｋｋｋ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ｋｋｋｋ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KKKL" hidden="1">#REF!</definedName>
    <definedName name="ｋｋっか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ｋｋっか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KTotal">#REF!</definedName>
    <definedName name="ku" hidden="1">#REF!</definedName>
    <definedName name="L_FFR">#REF!</definedName>
    <definedName name="L_FRR">#REF!</definedName>
    <definedName name="L_Line">#REF!</definedName>
    <definedName name="L_MY00">#REF!</definedName>
    <definedName name="L_NKR">#REF!</definedName>
    <definedName name="L_NPR">#REF!</definedName>
    <definedName name="L_TF">#REF!</definedName>
    <definedName name="L_UBS">#REF!</definedName>
    <definedName name="la">#REF!</definedName>
    <definedName name="LAST_GEAR">#REF!</definedName>
    <definedName name="lb">#REF!</definedName>
    <definedName name="lc">#REF!</definedName>
    <definedName name="ＬＣＶライン撤去" hidden="1">#REF!</definedName>
    <definedName name="LFF" hidden="1">#REF!</definedName>
    <definedName name="Lib">#REF!</definedName>
    <definedName name="Line">#REF!</definedName>
    <definedName name="list">#REF!</definedName>
    <definedName name="LKF" hidden="1">#REF!</definedName>
    <definedName name="lo" hidden="1">#REF!</definedName>
    <definedName name="M1_">#REF!</definedName>
    <definedName name="M10_溶接NUT">#REF!</definedName>
    <definedName name="M10_溶接STUD">#REF!</definedName>
    <definedName name="M12_溶接NUT">#REF!</definedName>
    <definedName name="M2_">#REF!</definedName>
    <definedName name="M3_">#REF!</definedName>
    <definedName name="M4_">#REF!</definedName>
    <definedName name="M4_溶接NUT">#REF!</definedName>
    <definedName name="M4_溶接STUD">#REF!</definedName>
    <definedName name="M5_">#REF!</definedName>
    <definedName name="M5_溶接NUT">#REF!</definedName>
    <definedName name="M5_溶接STUD">#REF!</definedName>
    <definedName name="M6_">#REF!</definedName>
    <definedName name="M6_溶接NUT">#REF!</definedName>
    <definedName name="M6_溶接STUD">#REF!</definedName>
    <definedName name="M8_溶接NUT">#REF!</definedName>
    <definedName name="M8_溶接STUD">#REF!</definedName>
    <definedName name="MC_CXZ">#REF!</definedName>
    <definedName name="MC_FRR">#REF!</definedName>
    <definedName name="MC_Line">#REF!</definedName>
    <definedName name="MC_NPR">#REF!</definedName>
    <definedName name="MC_SKW">#REF!</definedName>
    <definedName name="MC_TF">#REF!</definedName>
    <definedName name="MC200a">#REF!</definedName>
    <definedName name="MC21X">#REF!</definedName>
    <definedName name="Mc63apr23">#REF!</definedName>
    <definedName name="mkjh" hidden="1">#REF!</definedName>
    <definedName name="ｍｍｍ" hidden="1">#REF!</definedName>
    <definedName name="MT">#REF!</definedName>
    <definedName name="MUA_MC63_APR23">#REF!</definedName>
    <definedName name="MYTDCHG">14</definedName>
    <definedName name="N" hidden="1">#N/A</definedName>
    <definedName name="N_R">#REF!</definedName>
    <definedName name="ｎｅｋｋｕ０３" hidden="1">#REF!</definedName>
    <definedName name="NH00→02移行表">#REF!</definedName>
    <definedName name="nhg" hidden="1">#REF!</definedName>
    <definedName name="nhjm" hidden="1">#REF!</definedName>
    <definedName name="nj" hidden="1">#REF!</definedName>
    <definedName name="njuy" hidden="1">#REF!</definedName>
    <definedName name="nm" hidden="1">#REF!</definedName>
    <definedName name="nnh" hidden="1">#REF!</definedName>
    <definedName name="nnj" hidden="1">#REF!</definedName>
    <definedName name="No">#REF!</definedName>
    <definedName name="noah">#REF!</definedName>
    <definedName name="NR_A_or_L_SHOP_MAY14">#REF!</definedName>
    <definedName name="ＯＢＤⅡ評価一覧表" localSheetId="7">'Monthly 日程1006'!ＯＢＤⅡ評価一覧表</definedName>
    <definedName name="ＯＢＤⅡ評価一覧表">[0]!ＯＢＤⅡ評価一覧表</definedName>
    <definedName name="okmj" hidden="1">#REF!</definedName>
    <definedName name="OPENITEM">#REF!</definedName>
    <definedName name="oplk" hidden="1">#REF!</definedName>
    <definedName name="oresen">#REF!</definedName>
    <definedName name="p" hidden="1">#REF!</definedName>
    <definedName name="PARALIST" localSheetId="7">'Monthly 日程1006'!PARALIST</definedName>
    <definedName name="PARALIST">[0]!PARALIST</definedName>
    <definedName name="Parc1">#REF!</definedName>
    <definedName name="Parc10">#REF!</definedName>
    <definedName name="Parc11">#REF!</definedName>
    <definedName name="Parc12">#REF!</definedName>
    <definedName name="Parc13">#REF!</definedName>
    <definedName name="Parc2">#REF!</definedName>
    <definedName name="Parc3">#REF!</definedName>
    <definedName name="Parc4">#REF!</definedName>
    <definedName name="Part1">#REF!</definedName>
    <definedName name="Part10">#REF!</definedName>
    <definedName name="Part11">#REF!</definedName>
    <definedName name="Part12">#REF!</definedName>
    <definedName name="Part13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G_Line">#REF!</definedName>
    <definedName name="PG_TF">#REF!</definedName>
    <definedName name="PP">#REF!</definedName>
    <definedName name="PRICHG">4</definedName>
    <definedName name="PRIMTH">2</definedName>
    <definedName name="_xlnm.Print_Area" localSheetId="7">'Monthly 日程1006'!$A$1:$GH$183</definedName>
    <definedName name="_xlnm.Print_Area">#REF!</definedName>
    <definedName name="PRINT_AREA_MI">#REF!</definedName>
    <definedName name="PRINT_AREA_MI1">#REF!</definedName>
    <definedName name="Print_Area2">#REF!</definedName>
    <definedName name="_xlnm.Print_Titles">#REF!</definedName>
    <definedName name="PRINT_TITLES_MI">#REF!</definedName>
    <definedName name="PRINT_TITLES_MI1">#REF!</definedName>
    <definedName name="Print_Titles1">#REF!</definedName>
    <definedName name="Print_Titles2">#REF!</definedName>
    <definedName name="production_diskette">#REF!</definedName>
    <definedName name="PT2北" hidden="1">#REF!</definedName>
    <definedName name="Ｑ" hidden="1">#REF!</definedName>
    <definedName name="Q04_KKKK_工程集約">#REF!</definedName>
    <definedName name="ｑｑｑ" localSheetId="7">'Monthly 日程1006'!ｑｑｑ</definedName>
    <definedName name="QQQ" hidden="1">#REF!</definedName>
    <definedName name="ｑｑｑｑ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ｑｑｑｑ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QWE" hidden="1">#REF!</definedName>
    <definedName name="QWER">#REF!</definedName>
    <definedName name="Range1">#REF!</definedName>
    <definedName name="RawData">#REF!</definedName>
    <definedName name="redf" hidden="1">#REF!</definedName>
    <definedName name="REQ">#REF!</definedName>
    <definedName name="rerds" hidden="1">#REF!</definedName>
    <definedName name="REV">#REF!</definedName>
    <definedName name="RF">#REF!</definedName>
    <definedName name="RF0">#REF!</definedName>
    <definedName name="RJ0">#REF!</definedName>
    <definedName name="ROOP1">#REF!</definedName>
    <definedName name="RR">#REF!</definedName>
    <definedName name="Rr.BEF">#REF!</definedName>
    <definedName name="Rr.D">#REF!</definedName>
    <definedName name="Rr.dw">#REF!</definedName>
    <definedName name="rrrrrrr" localSheetId="7">'Monthly 日程1006'!rrrrrrr</definedName>
    <definedName name="rrrrrrr">[0]!rrrrrrr</definedName>
    <definedName name="rtg" hidden="1">#REF!</definedName>
    <definedName name="Rug">#REF!</definedName>
    <definedName name="RUN" hidden="1">#REF!</definedName>
    <definedName name="ｓ" hidden="1">#REF!</definedName>
    <definedName name="s_code">#REF!</definedName>
    <definedName name="SA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mesame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mesame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chedule">#REF!</definedName>
    <definedName name="sdddx" hidden="1">#REF!</definedName>
    <definedName name="sedr" localSheetId="7" hidden="1">{"'Sheet1'!$B$5:$K$22","'Sheet1'!$O$19"}</definedName>
    <definedName name="sedr" hidden="1">{"'Sheet1'!$B$5:$K$22","'Sheet1'!$O$19"}</definedName>
    <definedName name="SGGGGGGGG" hidden="1">#REF!</definedName>
    <definedName name="shio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hio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ＨＯＰ">#REF!</definedName>
    <definedName name="SHOPPDM0531_クエリー1">#REF!</definedName>
    <definedName name="SHUKKO_クエリー">#REF!</definedName>
    <definedName name="Single">#REF!</definedName>
    <definedName name="SKW">#REF!</definedName>
    <definedName name="SPDMのクロス集計_クエリー">#REF!</definedName>
    <definedName name="ｓｓｋ" hidden="1">#REF!</definedName>
    <definedName name="SSS" hidden="1">#REF!</definedName>
    <definedName name="SSSSS" hidden="1">#REF!</definedName>
    <definedName name="ｓｓで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ｓで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UB">#REF!</definedName>
    <definedName name="SUB00">#REF!</definedName>
    <definedName name="SUTD単価">#REF!</definedName>
    <definedName name="ｓかう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かう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コード">#REF!</definedName>
    <definedName name="ｓだ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だ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っさ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っさ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で" localSheetId="7" hidden="1">{"'Sheet1'!$B$5:$K$22","'Sheet1'!$O$19"}</definedName>
    <definedName name="ｓで" hidden="1">{"'Sheet1'!$B$5:$K$22","'Sheet1'!$O$19"}</definedName>
    <definedName name="ｓでｇ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でｇ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ta" localSheetId="7">'Monthly 日程1006'!ta</definedName>
    <definedName name="ta">[0]!ta</definedName>
    <definedName name="TAE" hidden="1">#REF!</definedName>
    <definedName name="tanka1">#REF!</definedName>
    <definedName name="tara" localSheetId="7">'Monthly 日程1006'!tara</definedName>
    <definedName name="tara">[0]!tara</definedName>
    <definedName name="tarad" localSheetId="7">'Monthly 日程1006'!tarad</definedName>
    <definedName name="tarad">[0]!tarad</definedName>
    <definedName name="Tc">#REF!</definedName>
    <definedName name="TCPRINTAREA">"TCSTART.UB!R10C1:TCSTART.UB!R17C6"</definedName>
    <definedName name="temp" hidden="1">#REF!</definedName>
    <definedName name="temp2" hidden="1">#REF!</definedName>
    <definedName name="test">#REF!</definedName>
    <definedName name="TEST1">#REF!:INDEX(#REF!,COUNTA(#REF!))</definedName>
    <definedName name="test2" localSheetId="7">'Monthly 日程1006'!test2</definedName>
    <definedName name="test2">[0]!test2</definedName>
    <definedName name="TEST3">#REF!:INDEX(#REF!,COUNTA(#REF!))</definedName>
    <definedName name="TEST4">#REF!:INDEX(#REF!,COUNTA(#REF!))</definedName>
    <definedName name="TEST5">#REF!:INDEX(#REF!,COUNTA(#REF!))</definedName>
    <definedName name="TEST6">#REF!:INDEX(#REF!,COUNTA(#REF!))</definedName>
    <definedName name="TEST7">#REF!:INDEX(#REF!,COUNTA(#REF!))</definedName>
    <definedName name="TEST8">#REF!:INDEX(#REF!,COUNTA(#REF!))</definedName>
    <definedName name="TEST9">#REF!:INDEX(#REF!,COUNTA(#REF!))</definedName>
    <definedName name="TESTA">#REF!:INDEX(#REF!,COUNTA(#REF!))</definedName>
    <definedName name="TESTB">#REF!:INDEX(#REF!,COUNTA(#REF!))</definedName>
    <definedName name="TESTC">#REF!:INDEX(#REF!,COUNTA(#REF!))</definedName>
    <definedName name="TESTD">#REF!:INDEX(#REF!,COUNTA(#REF!))</definedName>
    <definedName name="TESTE">#REF!:INDEX(#REF!,COUNTA(#REF!))</definedName>
    <definedName name="TESTF">#REF!:INDEX(#REF!,COUNTA(#REF!))</definedName>
    <definedName name="TESTG">#REF!:INDEX(#REF!,COUNTA(#REF!))</definedName>
    <definedName name="TESTH">#REF!:INDEX(#REF!,COUNTA(#REF!))</definedName>
    <definedName name="TextRefCopyRangeCount" hidden="1">64</definedName>
    <definedName name="TF">#REF!</definedName>
    <definedName name="tgf" hidden="1">#REF!</definedName>
    <definedName name="THARF" localSheetId="7">'Monthly 日程1006'!THARF</definedName>
    <definedName name="THARF">[0]!THARF</definedName>
    <definedName name="THR" localSheetId="7">'Monthly 日程1006'!THR</definedName>
    <definedName name="THR">[0]!THR</definedName>
    <definedName name="Tire_Size">#REF!</definedName>
    <definedName name="Total">#REF!</definedName>
    <definedName name="ｔｒ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ｔｒ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trade" localSheetId="7">'Monthly 日程1006'!trade</definedName>
    <definedName name="trade">[0]!trade</definedName>
    <definedName name="trfd" hidden="1">#REF!</definedName>
    <definedName name="TRIM" hidden="1">#REF!</definedName>
    <definedName name="TRIM1" hidden="1">#REF!</definedName>
    <definedName name="tt" hidden="1">#N/A</definedName>
    <definedName name="Tw">#REF!</definedName>
    <definedName name="ｔｚｗ" hidden="1">#REF!</definedName>
    <definedName name="T金型">#REF!</definedName>
    <definedName name="UBS">#REF!</definedName>
    <definedName name="uj" hidden="1">#REF!</definedName>
    <definedName name="ujh" hidden="1">#REF!</definedName>
    <definedName name="UnitPrice">#REF!</definedName>
    <definedName name="uu">#N/A</definedName>
    <definedName name="ｕｕｕ" hidden="1">#REF!</definedName>
    <definedName name="vbg" hidden="1">#REF!</definedName>
    <definedName name="vbnm" hidden="1">#REF!</definedName>
    <definedName name="vespa125">#REF!</definedName>
    <definedName name="vfc" hidden="1">#REF!</definedName>
    <definedName name="vfg" hidden="1">#REF!</definedName>
    <definedName name="VOL03CRE">#REF!</definedName>
    <definedName name="VOL03CREPLAIN">#REF!</definedName>
    <definedName name="VOL03EXHOOK">#REF!</definedName>
    <definedName name="VOL03EXPLAIN">#REF!</definedName>
    <definedName name="VOL03EXT">#REF!</definedName>
    <definedName name="VOL03REG">#REF!</definedName>
    <definedName name="VOL03REHOOK">#REF!</definedName>
    <definedName name="VOL04CRE">#REF!</definedName>
    <definedName name="VOL04CREPLAIN">#REF!</definedName>
    <definedName name="VOL04EXHOOK">#REF!</definedName>
    <definedName name="VOL04EXPLAIN">#REF!</definedName>
    <definedName name="VOL04EXT">#REF!</definedName>
    <definedName name="VOL04REG">#REF!</definedName>
    <definedName name="VOL04REHOOK">#REF!</definedName>
    <definedName name="VOL05CRE">#REF!</definedName>
    <definedName name="VOL05CREPLAIN">#REF!</definedName>
    <definedName name="VOL05EXHOOK">#REF!</definedName>
    <definedName name="VOL05EXPLAIN">#REF!</definedName>
    <definedName name="VOL05EXT">#REF!</definedName>
    <definedName name="VOL05REG">#REF!</definedName>
    <definedName name="VOL05REHOOK">#REF!</definedName>
    <definedName name="VOL06CRE">#REF!</definedName>
    <definedName name="VOL06CREPLAIN">#REF!</definedName>
    <definedName name="VOL06EXHOOK">#REF!</definedName>
    <definedName name="VOL06EXPLAIN">#REF!</definedName>
    <definedName name="VOL06EXT">#REF!</definedName>
    <definedName name="VOL06REG">#REF!</definedName>
    <definedName name="VOL06REHOOK">#REF!</definedName>
    <definedName name="VOL07CRE">#REF!</definedName>
    <definedName name="VOL07CREPLAIN">#REF!</definedName>
    <definedName name="VOL07EXHOOK">#REF!</definedName>
    <definedName name="VOL07EXPLAIN">#REF!</definedName>
    <definedName name="VOL07EXT">#REF!</definedName>
    <definedName name="VOL07REG">#REF!</definedName>
    <definedName name="VOL07REHOOK">#REF!</definedName>
    <definedName name="VOL08CRE">#REF!</definedName>
    <definedName name="VOL08CREPLAIN">#REF!</definedName>
    <definedName name="VOL08EXHOOK">#REF!</definedName>
    <definedName name="VOL08EXPLAIN">#REF!</definedName>
    <definedName name="VOL08EXT">#REF!</definedName>
    <definedName name="VOL08REG">#REF!</definedName>
    <definedName name="VOL08REHOOK">#REF!</definedName>
    <definedName name="VOL09CRE">#REF!</definedName>
    <definedName name="VOL09CREPLAIN">#REF!</definedName>
    <definedName name="VOL09EXHOOK">#REF!</definedName>
    <definedName name="VOL09EXPLAIN">#REF!</definedName>
    <definedName name="VOL09EXT">#REF!</definedName>
    <definedName name="VOL09REG">#REF!</definedName>
    <definedName name="VOL09REHOOK">#REF!</definedName>
    <definedName name="volume">#REF!</definedName>
    <definedName name="WEATR" hidden="1">#REF!</definedName>
    <definedName name="Weight">#REF!</definedName>
    <definedName name="WER" hidden="1">#REF!</definedName>
    <definedName name="Wheel_Size">#REF!</definedName>
    <definedName name="WQ" localSheetId="7">'Monthly 日程1006'!WQ</definedName>
    <definedName name="WQ">[0]!WQ</definedName>
    <definedName name="wrn.１２１２２." localSheetId="7" hidden="1">{"穴位置",#N/A,FALSE,"897000000Z";"ＬＨ穴",#N/A,FALSE,"897000000Z"}</definedName>
    <definedName name="wrn.１２１２２." hidden="1">{"穴位置",#N/A,FALSE,"897000000Z";"ＬＨ穴",#N/A,FALSE,"897000000Z"}</definedName>
    <definedName name="wrn.営業幹部会報告.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w">#REF!</definedName>
    <definedName name="ｘ" localSheetId="7">'Monthly 日程1006'!ｘ</definedName>
    <definedName name="X" hidden="1">#REF!</definedName>
    <definedName name="Ｘ01_">#REF!</definedName>
    <definedName name="X132研試不具合管理表_ｷｬﾌﾞ_List">#REF!</definedName>
    <definedName name="xccxs" hidden="1">#REF!</definedName>
    <definedName name="xcds" hidden="1">#REF!</definedName>
    <definedName name="xcdx" hidden="1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4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5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14</definedName>
    <definedName name="xsdf" hidden="1">#REF!</definedName>
    <definedName name="xsdx" hidden="1">#REF!</definedName>
    <definedName name="xxxs" hidden="1">#REF!</definedName>
    <definedName name="YA">#REF!</definedName>
    <definedName name="YAMAGEN" localSheetId="7">'Monthly 日程1006'!YAMAGEN</definedName>
    <definedName name="YAMAGEN">[0]!YAMAGEN</definedName>
    <definedName name="yamagen1">#REF!</definedName>
    <definedName name="yamo">#REF!</definedName>
    <definedName name="YB">#REF!</definedName>
    <definedName name="YC">#REF!</definedName>
    <definedName name="YD">#REF!</definedName>
    <definedName name="YE">#REF!</definedName>
    <definedName name="YF">#REF!</definedName>
    <definedName name="YG">#REF!</definedName>
    <definedName name="YH">#REF!</definedName>
    <definedName name="yhj" hidden="1">#REF!</definedName>
    <definedName name="YI">#REF!</definedName>
    <definedName name="YJ">#REF!</definedName>
    <definedName name="YK">#REF!</definedName>
    <definedName name="YRA3MTH">7</definedName>
    <definedName name="YRACHG">5</definedName>
    <definedName name="YRACYTD">10</definedName>
    <definedName name="YRAMTH">3</definedName>
    <definedName name="YRAMYTD">13</definedName>
    <definedName name="ytrr" hidden="1">#REF!</definedName>
    <definedName name="ytrtr" hidden="1">#REF!</definedName>
    <definedName name="yuio" hidden="1">#REF!</definedName>
    <definedName name="YY" localSheetId="7">'Monthly 日程1006'!YY</definedName>
    <definedName name="YY">[0]!YY</definedName>
    <definedName name="Z_126BE73E_FF98_463B_BD9C_C0440849253E_.wvu.FilterData" hidden="1">#REF!</definedName>
    <definedName name="Z_126BE73E_FF98_463B_BD9C_C0440849253E_.wvu.PrintArea" hidden="1">#REF!</definedName>
    <definedName name="Z_126BE73E_FF98_463B_BD9C_C0440849253E_.wvu.Rows" hidden="1">#REF!,#REF!</definedName>
    <definedName name="Z_151410E0_2ED4_11D7_9B98_00D059017903_.wvu.FilterData" hidden="1">#REF!</definedName>
    <definedName name="Z_151410E0_2ED4_11D7_9B98_00D059017903_.wvu.PrintArea" hidden="1">#REF!</definedName>
    <definedName name="Z_151410E0_2ED4_11D7_9B98_00D059017903_.wvu.Rows" hidden="1">#REF!,#REF!</definedName>
    <definedName name="Z_4332CA00_2ED6_11D7_9C3E_00004CF7B42E_.wvu.FilterData" hidden="1">#REF!</definedName>
    <definedName name="Z_53257FE8_378A_11D7_9144_0010B5ED385C_.wvu.FilterData" hidden="1">#REF!</definedName>
    <definedName name="Z_EF49C4E8_3766_11D7_9144_0010B5ED385C_.wvu.FilterData" hidden="1">#REF!</definedName>
    <definedName name="Z_FEE035CE_381E_11D7_9144_0010B5ED385C_.wvu.FilterData" hidden="1">#REF!</definedName>
    <definedName name="ZA">#REF!</definedName>
    <definedName name="ZB">#REF!</definedName>
    <definedName name="ZC">#REF!</definedName>
    <definedName name="ZD">#REF!</definedName>
    <definedName name="ZE">#REF!</definedName>
    <definedName name="ZF">#REF!</definedName>
    <definedName name="ZG">#REF!</definedName>
    <definedName name="ZH">#REF!</definedName>
    <definedName name="ZI">#REF!</definedName>
    <definedName name="ZJ">#REF!</definedName>
    <definedName name="ZK">#REF!</definedName>
    <definedName name="zz">#REF!</definedName>
    <definedName name="zzz" localSheetId="7">'Monthly 日程1006'!zzz</definedName>
    <definedName name="zzz">[0]!zzz</definedName>
    <definedName name="ZZZZ">#REF!</definedName>
    <definedName name="α">#REF!</definedName>
    <definedName name="β">#REF!</definedName>
    <definedName name="γ">#REF!</definedName>
    <definedName name="あ" localSheetId="7">'Monthly 日程1006'!あ</definedName>
    <definedName name="あ">#REF!</definedName>
    <definedName name="あ１">#REF!</definedName>
    <definedName name="あｓｄふぁｓ" localSheetId="7">'Monthly 日程1006'!あｓｄふぁｓ</definedName>
    <definedName name="あｓｄふぁｓ">[0]!あｓｄふぁｓ</definedName>
    <definedName name="あｓで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あｓで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あああ">#REF!</definedName>
    <definedName name="あああああ">#REF!</definedName>
    <definedName name="ああああああああああ">#REF!</definedName>
    <definedName name="ああああああああああああああ">#REF!</definedName>
    <definedName name="あり" hidden="1">#REF!</definedName>
    <definedName name="い">#REF!</definedName>
    <definedName name="いいい">#REF!</definedName>
    <definedName name="う" hidden="1">#REF!</definedName>
    <definedName name="うそ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うそ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え" hidden="1">#REF!</definedName>
    <definedName name="えええ" hidden="1">#REF!</definedName>
    <definedName name="お" hidden="1">#REF!</definedName>
    <definedName name="きも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きも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キャブ">#REF!</definedName>
    <definedName name="くぁ" hidden="1">#REF!</definedName>
    <definedName name="ｸﾞﾗ⨺" hidden="1">#REF!</definedName>
    <definedName name="グラフ" hidden="1">#REF!</definedName>
    <definedName name="コイル品番">#REF!</definedName>
    <definedName name="コメント">#REF!</definedName>
    <definedName name="そと">#REF!</definedName>
    <definedName name="ﾀｲ">#REF!</definedName>
    <definedName name="タイセイアン" localSheetId="7">'Monthly 日程1006'!タイセイアン</definedName>
    <definedName name="タイセイアン">[0]!タイセイアン</definedName>
    <definedName name="ﾀｲﾔｻｲｽﾞ">#REF!</definedName>
    <definedName name="ﾀﾞﾐｰ">#REF!</definedName>
    <definedName name="っせええ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っせええ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つつつ" hidden="1">#REF!</definedName>
    <definedName name="ﾄﾞﾗﾑ" hidden="1">#REF!</definedName>
    <definedName name="ﾄﾞﾗﾑﾌﾞﾚｰｷ" hidden="1">#REF!</definedName>
    <definedName name="ﾄﾙｸ表">#REF!</definedName>
    <definedName name="ﾈｯｸ" hidden="1">#REF!</definedName>
    <definedName name="ﾈｯｸ１" hidden="1">#REF!</definedName>
    <definedName name="ﾈｯｸ２" hidden="1">#REF!</definedName>
    <definedName name="パターン出力">#REF!</definedName>
    <definedName name="はんい">#REF!</definedName>
    <definedName name="ひｎ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ひｎ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ﾌｧｲﾅﾙ">#REF!</definedName>
    <definedName name="ﾌｧｲﾅﾙALL">#REF!</definedName>
    <definedName name="ﾌﾞﾚ_ｷ種類">#REF!</definedName>
    <definedName name="プレス">#REF!</definedName>
    <definedName name="プレス単価BL">#REF!</definedName>
    <definedName name="プレス単価PRG">#REF!</definedName>
    <definedName name="プレス単価TDM">#REF!</definedName>
    <definedName name="プレス単価TRF">#REF!</definedName>
    <definedName name="ベース">#REF!</definedName>
    <definedName name="ほんとう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ほんとう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レーザー">#REF!</definedName>
    <definedName name="ロット">#REF!</definedName>
    <definedName name="わｔの">#REF!</definedName>
    <definedName name="一般作業">#REF!</definedName>
    <definedName name="一覧表出力">#REF!</definedName>
    <definedName name="一覧表保存">#REF!</definedName>
    <definedName name="印刷">#REF!</definedName>
    <definedName name="塩田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塩田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横集計">#N/A</definedName>
    <definedName name="加速出力">#REF!</definedName>
    <definedName name="回転表">#REF!</definedName>
    <definedName name="完了aplib">#REF!</definedName>
    <definedName name="完了can">#REF!</definedName>
    <definedName name="完了cmd">#REF!</definedName>
    <definedName name="完了cru">#REF!</definedName>
    <definedName name="完了dply">#REF!</definedName>
    <definedName name="完了egr">#REF!</definedName>
    <definedName name="完了glw">#REF!</definedName>
    <definedName name="完了immo">#REF!</definedName>
    <definedName name="完了inj">#REF!</definedName>
    <definedName name="完了int">#REF!</definedName>
    <definedName name="完了kwp">#REF!</definedName>
    <definedName name="完了obd">#REF!</definedName>
    <definedName name="完了oth">#REF!</definedName>
    <definedName name="完了p">#REF!</definedName>
    <definedName name="完了pmp">#REF!</definedName>
    <definedName name="完了qt">#REF!</definedName>
    <definedName name="完了rel">#REF!</definedName>
    <definedName name="完了trq">#REF!</definedName>
    <definedName name="完了vnt">#REF!</definedName>
    <definedName name="完了vss">#REF!</definedName>
    <definedName name="関連表" hidden="1">#REF!</definedName>
    <definedName name="基本日程" hidden="1">#REF!</definedName>
    <definedName name="機種BL">#REF!</definedName>
    <definedName name="機種PRG">#REF!</definedName>
    <definedName name="機種TDM">#REF!</definedName>
    <definedName name="機種TRF">#REF!</definedName>
    <definedName name="緊急度">#REF!</definedName>
    <definedName name="区分">#REF!</definedName>
    <definedName name="駆動力_DATA">#REF!</definedName>
    <definedName name="計画数">#REF!</definedName>
    <definedName name="計算1">#N/A</definedName>
    <definedName name="計算2">#N/A</definedName>
    <definedName name="計算3">#N/A</definedName>
    <definedName name="計算4">#N/A</definedName>
    <definedName name="検証結果">#REF!</definedName>
    <definedName name="検討等">#REF!</definedName>
    <definedName name="公休">#REF!</definedName>
    <definedName name="公出">#REF!</definedName>
    <definedName name="効率">#REF!</definedName>
    <definedName name="鋼線・鋼管入手性">#REF!</definedName>
    <definedName name="鋼線・鋼管標準径">#REF!</definedName>
    <definedName name="鋼線・鋼管標準厚さ">#REF!</definedName>
    <definedName name="鋼板種類">#REF!</definedName>
    <definedName name="鋼板入手性">#REF!</definedName>
    <definedName name="鋼板標準厚さ">#REF!</definedName>
    <definedName name="合計aplib">#REF!</definedName>
    <definedName name="合計can">#REF!</definedName>
    <definedName name="合計cmd">#REF!</definedName>
    <definedName name="合計cru">#REF!</definedName>
    <definedName name="合計dply">#REF!</definedName>
    <definedName name="合計egr">#REF!</definedName>
    <definedName name="合計glw">#REF!</definedName>
    <definedName name="合計immo">#REF!</definedName>
    <definedName name="合計inj">#REF!</definedName>
    <definedName name="合計int">#REF!</definedName>
    <definedName name="合計kwp">#REF!</definedName>
    <definedName name="合計obd">#REF!</definedName>
    <definedName name="合計oth">#REF!</definedName>
    <definedName name="合計p">#REF!</definedName>
    <definedName name="合計pmp">#REF!</definedName>
    <definedName name="合計qt">#REF!</definedName>
    <definedName name="合計rel">#REF!</definedName>
    <definedName name="合計trq">#REF!</definedName>
    <definedName name="合計vnt">#REF!</definedName>
    <definedName name="合計vss">#REF!</definedName>
    <definedName name="国ｺｰﾄﾞ">#REF!</definedName>
    <definedName name="黒沢">#REF!</definedName>
    <definedName name="今後の動向" hidden="1">#REF!</definedName>
    <definedName name="根ｸ" hidden="1">#REF!</definedName>
    <definedName name="混合">#REF!</definedName>
    <definedName name="佐藤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佐藤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差し替え">#REF!</definedName>
    <definedName name="再配置概要図" hidden="1">#REF!</definedName>
    <definedName name="在庫数">#REF!</definedName>
    <definedName name="材料記号別単価">#REF!</definedName>
    <definedName name="坂元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坂元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車両_MC63_APR23">#REF!</definedName>
    <definedName name="車両諸元">#REF!</definedName>
    <definedName name="主ﾌﾞﾚｰｷ">#REF!</definedName>
    <definedName name="朱書き内容">#REF!</definedName>
    <definedName name="縦集計">#N/A</definedName>
    <definedName name="重?v“x">#REF!</definedName>
    <definedName name="重要度">#REF!</definedName>
    <definedName name="出">#REF!</definedName>
    <definedName name="出図実績">#REF!</definedName>
    <definedName name="出図予定">#REF!</definedName>
    <definedName name="条件1">#REF!</definedName>
    <definedName name="条件10">#REF!</definedName>
    <definedName name="条件100">#REF!</definedName>
    <definedName name="条件101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2">#REF!</definedName>
    <definedName name="条件200">#REF!</definedName>
    <definedName name="条件3">#REF!</definedName>
    <definedName name="条件300">#REF!</definedName>
    <definedName name="条件301">#REF!</definedName>
    <definedName name="条件302">#REF!</definedName>
    <definedName name="条件4">#REF!</definedName>
    <definedName name="条件400">#REF!</definedName>
    <definedName name="条件5">#REF!</definedName>
    <definedName name="条件540">#REF!</definedName>
    <definedName name="条件541">#REF!</definedName>
    <definedName name="条件542">#REF!</definedName>
    <definedName name="条件543">#REF!</definedName>
    <definedName name="条件544">#REF!</definedName>
    <definedName name="条件6">#REF!</definedName>
    <definedName name="条件7">#REF!</definedName>
    <definedName name="条件8">#REF!</definedName>
    <definedName name="条件9">#REF!</definedName>
    <definedName name="新エレキ部品" hidden="1">#REF!</definedName>
    <definedName name="進捗">#REF!</definedName>
    <definedName name="進捗1">#REF!</definedName>
    <definedName name="性能">#REF!</definedName>
    <definedName name="性能線図">#REF!</definedName>
    <definedName name="性能評価S73項目追加4月5日">#REF!</definedName>
    <definedName name="生産">#REF!</definedName>
    <definedName name="生産ｺｽﾄ変動" hidden="1">#REF!</definedName>
    <definedName name="生産計画表">#REF!</definedName>
    <definedName name="生産集計">#REF!</definedName>
    <definedName name="生産数量BL">#REF!</definedName>
    <definedName name="生産数量PRG">#REF!</definedName>
    <definedName name="生産数量TDM">#REF!</definedName>
    <definedName name="生産数量TRF">#REF!</definedName>
    <definedName name="生産並べ替え">#REF!</definedName>
    <definedName name="静半径">#REF!</definedName>
    <definedName name="選択範囲">#REF!</definedName>
    <definedName name="全体確認">#REF!</definedName>
    <definedName name="総組" hidden="1">#REF!</definedName>
    <definedName name="総組１" hidden="1">#REF!</definedName>
    <definedName name="装置詳細" localSheetId="7">'Monthly 日程1006'!装置詳細</definedName>
    <definedName name="装置詳細">[0]!装置詳細</definedName>
    <definedName name="騒音品質管理表">#REF!</definedName>
    <definedName name="対応">#REF!</definedName>
    <definedName name="対照表２" hidden="1">#REF!</definedName>
    <definedName name="対象ｐｒｏｊ">#REF!</definedName>
    <definedName name="大分類">#REF!</definedName>
    <definedName name="単価">#REF!</definedName>
    <definedName name="単品ｻｰﾋﾞｽ">#REF!</definedName>
    <definedName name="単品数量ｸﾘｱ">#REF!</definedName>
    <definedName name="中子マシン負荷率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中子マシン負荷率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中分類">#REF!</definedName>
    <definedName name="駐車ﾌﾞﾚｰｷ">#REF!</definedName>
    <definedName name="定義">#REF!</definedName>
    <definedName name="定地出力">#REF!</definedName>
    <definedName name="動半径">#REF!</definedName>
    <definedName name="日程">#REF!</definedName>
    <definedName name="日程１">#REF!</definedName>
    <definedName name="日程とMH" hidden="1">#REF!</definedName>
    <definedName name="日当たり表">#REF!</definedName>
    <definedName name="日当り並替">#REF!</definedName>
    <definedName name="認証">#REF!</definedName>
    <definedName name="熱間圧延">#REF!</definedName>
    <definedName name="板厚database">#REF!</definedName>
    <definedName name="範囲">#REF!</definedName>
    <definedName name="範囲＿範囲">#REF!</definedName>
    <definedName name="範囲１">#REF!</definedName>
    <definedName name="範囲４・５ton">#REF!</definedName>
    <definedName name="範囲MC用">#REF!</definedName>
    <definedName name="表1">#REF!</definedName>
    <definedName name="表紙TRIM" hidden="1">#REF!</definedName>
    <definedName name="表面処理">#REF!</definedName>
    <definedName name="評価Matrix" hidden="1">#REF!</definedName>
    <definedName name="品質">#REF!</definedName>
    <definedName name="品質造りこみ">#REF!</definedName>
    <definedName name="品質造り込み表">#REF!</definedName>
    <definedName name="品質造り込み表_新">#REF!</definedName>
    <definedName name="品番">#REF!</definedName>
    <definedName name="不具合現象又は依頼項目">#REF!</definedName>
    <definedName name="負荷基準">#REF!</definedName>
    <definedName name="負荷算出">#REF!</definedName>
    <definedName name="部品形状" localSheetId="7" hidden="1">{"'Sheet1'!$B$5:$K$22","'Sheet1'!$O$19"}</definedName>
    <definedName name="部品形状" hidden="1">{"'Sheet1'!$B$5:$K$22","'Sheet1'!$O$19"}</definedName>
    <definedName name="部品形状２" localSheetId="7" hidden="1">{"'Sheet1'!$B$5:$K$22","'Sheet1'!$O$19"}</definedName>
    <definedName name="部品形状２" hidden="1">{"'Sheet1'!$B$5:$K$22","'Sheet1'!$O$19"}</definedName>
    <definedName name="物流ｽﾍﾟｰｽ">#REF!</definedName>
    <definedName name="変更概要書" hidden="1">#REF!</definedName>
    <definedName name="変更項目">#REF!</definedName>
    <definedName name="報告" hidden="1">#REF!</definedName>
    <definedName name="本文２">#REF!</definedName>
    <definedName name="目標品質">#REF!</definedName>
    <definedName name="目品比較" hidden="1">#REF!</definedName>
    <definedName name="溶接">#REF!</definedName>
    <definedName name="溶融亜鉛メッキ【熱延】">#REF!</definedName>
    <definedName name="溶融亜鉛メッキ【冷延】">#REF!</definedName>
    <definedName name="冷間圧延">#REF!</definedName>
    <definedName name="連休前後ﾗｲﾝ稼動" hidden="1">#REF!</definedName>
    <definedName name="連休前後日程案" hidden="1">#REF!</definedName>
    <definedName name="剪断">#REF!</definedName>
    <definedName name="剪断屋">#REF!</definedName>
    <definedName name="剪断混合">#REF!</definedName>
    <definedName name="剪断集計">#REF!</definedName>
    <definedName name="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L45" i="95"/>
  <c r="BA5" i="93" l="1"/>
  <c r="AW5" i="93"/>
  <c r="AR5" i="93"/>
  <c r="AN5" i="93"/>
  <c r="AI5" i="93"/>
  <c r="AE5" i="93"/>
  <c r="AA5" i="93"/>
  <c r="V5" i="93"/>
  <c r="R5" i="93"/>
  <c r="N5" i="93"/>
  <c r="J5" i="93"/>
</calcChain>
</file>

<file path=xl/sharedStrings.xml><?xml version="1.0" encoding="utf-8"?>
<sst xmlns="http://schemas.openxmlformats.org/spreadsheetml/2006/main" count="3685" uniqueCount="626">
  <si>
    <t>FRAME ASSY</t>
    <phoneticPr fontId="57"/>
  </si>
  <si>
    <t>ライン</t>
  </si>
  <si>
    <t>荷姿</t>
  </si>
  <si>
    <t>刻印</t>
  </si>
  <si>
    <t>初品区分</t>
  </si>
  <si>
    <t>総計</t>
  </si>
  <si>
    <t xml:space="preserve">VL01 NPR    </t>
  </si>
  <si>
    <t>初</t>
  </si>
  <si>
    <t>○</t>
  </si>
  <si>
    <t xml:space="preserve">NMR         </t>
  </si>
  <si>
    <t xml:space="preserve">VL01 NMR    </t>
  </si>
  <si>
    <t xml:space="preserve">VL20 NMR    </t>
  </si>
  <si>
    <t xml:space="preserve">VL20 NPR    </t>
  </si>
  <si>
    <t xml:space="preserve">VL08 NPR    </t>
  </si>
  <si>
    <t xml:space="preserve">NPR         </t>
  </si>
  <si>
    <t>車型名称</t>
  </si>
  <si>
    <t>　</t>
    <phoneticPr fontId="59"/>
  </si>
  <si>
    <t>先週受領の設変</t>
    <rPh sb="0" eb="1">
      <t>セン</t>
    </rPh>
    <rPh sb="1" eb="2">
      <t>シュウ</t>
    </rPh>
    <rPh sb="2" eb="4">
      <t>ジュリョウ</t>
    </rPh>
    <rPh sb="5" eb="6">
      <t>セツ</t>
    </rPh>
    <rPh sb="6" eb="7">
      <t>ヘン</t>
    </rPh>
    <phoneticPr fontId="59"/>
  </si>
  <si>
    <t>プレス</t>
    <phoneticPr fontId="59"/>
  </si>
  <si>
    <t>久しぶり</t>
  </si>
  <si>
    <t>納入品番1</t>
  </si>
  <si>
    <t>久</t>
  </si>
  <si>
    <t>No.</t>
  </si>
  <si>
    <t>技術課</t>
    <rPh sb="0" eb="3">
      <t>ギジュツカ</t>
    </rPh>
    <phoneticPr fontId="59"/>
  </si>
  <si>
    <t>品管課</t>
    <rPh sb="0" eb="2">
      <t>ヒンカン</t>
    </rPh>
    <rPh sb="2" eb="3">
      <t>カ</t>
    </rPh>
    <phoneticPr fontId="59"/>
  </si>
  <si>
    <t>組一課</t>
    <rPh sb="0" eb="1">
      <t>クミ</t>
    </rPh>
    <rPh sb="1" eb="2">
      <t>イチ</t>
    </rPh>
    <rPh sb="2" eb="3">
      <t>カ</t>
    </rPh>
    <phoneticPr fontId="59"/>
  </si>
  <si>
    <t>量産</t>
    <rPh sb="0" eb="2">
      <t>リョウサン</t>
    </rPh>
    <phoneticPr fontId="59"/>
  </si>
  <si>
    <t>設変</t>
    <rPh sb="0" eb="2">
      <t>セッペン</t>
    </rPh>
    <phoneticPr fontId="59"/>
  </si>
  <si>
    <t>生管課</t>
    <rPh sb="0" eb="2">
      <t>セイカン</t>
    </rPh>
    <rPh sb="2" eb="3">
      <t>カ</t>
    </rPh>
    <phoneticPr fontId="59"/>
  </si>
  <si>
    <t>Ｆ生産管理課　川﨑</t>
    <rPh sb="1" eb="3">
      <t>セイサン</t>
    </rPh>
    <rPh sb="3" eb="5">
      <t>カンリ</t>
    </rPh>
    <rPh sb="5" eb="6">
      <t>カ</t>
    </rPh>
    <rPh sb="7" eb="9">
      <t>カワサキ</t>
    </rPh>
    <phoneticPr fontId="59"/>
  </si>
  <si>
    <t>OBL
構成</t>
    <rPh sb="4" eb="6">
      <t>コウセイ</t>
    </rPh>
    <phoneticPr fontId="61"/>
  </si>
  <si>
    <t>720製造管理システム</t>
    <phoneticPr fontId="59"/>
  </si>
  <si>
    <t>受注条件
車型名称</t>
    <rPh sb="0" eb="2">
      <t>ジュチュウ</t>
    </rPh>
    <rPh sb="2" eb="4">
      <t>ジョウケン</t>
    </rPh>
    <phoneticPr fontId="59"/>
  </si>
  <si>
    <t>送付コメント</t>
    <rPh sb="0" eb="2">
      <t>ソウフ</t>
    </rPh>
    <phoneticPr fontId="59"/>
  </si>
  <si>
    <t>技計NO</t>
    <rPh sb="0" eb="1">
      <t>ギ</t>
    </rPh>
    <rPh sb="1" eb="2">
      <t>ケイ</t>
    </rPh>
    <phoneticPr fontId="59"/>
  </si>
  <si>
    <t>生産
ライン</t>
    <rPh sb="0" eb="2">
      <t>セイサン</t>
    </rPh>
    <phoneticPr fontId="59"/>
  </si>
  <si>
    <t>刻印</t>
    <phoneticPr fontId="59"/>
  </si>
  <si>
    <t>部品ﾋﾟｯｷﾝｸﾞ
ﾊﾟﾀｰﾝ検索</t>
    <phoneticPr fontId="59"/>
  </si>
  <si>
    <t>C/MBR
ﾋﾟｯｷﾝｸﾞ
ﾏｽﾀ検索</t>
    <phoneticPr fontId="59"/>
  </si>
  <si>
    <t>イベント車型</t>
    <rPh sb="4" eb="5">
      <t>シャ</t>
    </rPh>
    <rPh sb="5" eb="6">
      <t>カタ</t>
    </rPh>
    <phoneticPr fontId="59"/>
  </si>
  <si>
    <t>調達</t>
    <rPh sb="0" eb="2">
      <t>チョウタツ</t>
    </rPh>
    <phoneticPr fontId="59"/>
  </si>
  <si>
    <t>○</t>
    <phoneticPr fontId="59"/>
  </si>
  <si>
    <t>―</t>
  </si>
  <si>
    <t>―</t>
    <phoneticPr fontId="59"/>
  </si>
  <si>
    <t>【出席者】</t>
    <rPh sb="1" eb="4">
      <t>シュッセキシャ</t>
    </rPh>
    <phoneticPr fontId="59"/>
  </si>
  <si>
    <t>小型FRAME Weekly MTG</t>
    <rPh sb="0" eb="2">
      <t>コガタ</t>
    </rPh>
    <phoneticPr fontId="59"/>
  </si>
  <si>
    <t>自動車営業部</t>
    <rPh sb="0" eb="6">
      <t>ジドウシャエイギョウブ</t>
    </rPh>
    <phoneticPr fontId="59"/>
  </si>
  <si>
    <t>藤沢工場　生産管理課</t>
    <rPh sb="0" eb="4">
      <t>フジサワコウジョウ</t>
    </rPh>
    <rPh sb="5" eb="10">
      <t>セイカン</t>
    </rPh>
    <phoneticPr fontId="59"/>
  </si>
  <si>
    <t>承認</t>
    <rPh sb="0" eb="2">
      <t>ショウニン</t>
    </rPh>
    <phoneticPr fontId="59"/>
  </si>
  <si>
    <t>作成</t>
    <rPh sb="0" eb="2">
      <t>サクセイ</t>
    </rPh>
    <phoneticPr fontId="59"/>
  </si>
  <si>
    <t>審査</t>
    <rPh sb="0" eb="2">
      <t>シンサ</t>
    </rPh>
    <phoneticPr fontId="59"/>
  </si>
  <si>
    <t>井上</t>
    <rPh sb="0" eb="2">
      <t>イノウエ</t>
    </rPh>
    <phoneticPr fontId="59"/>
  </si>
  <si>
    <t>設計部</t>
    <rPh sb="0" eb="2">
      <t>セッケイ</t>
    </rPh>
    <rPh sb="2" eb="3">
      <t>ブ</t>
    </rPh>
    <phoneticPr fontId="59"/>
  </si>
  <si>
    <t>納入品名称</t>
  </si>
  <si>
    <t>基本車型</t>
  </si>
  <si>
    <t>設通
受領日</t>
    <rPh sb="0" eb="2">
      <t>セッツウ</t>
    </rPh>
    <rPh sb="3" eb="5">
      <t>ジュリョウ</t>
    </rPh>
    <rPh sb="5" eb="6">
      <t>ビ</t>
    </rPh>
    <phoneticPr fontId="59"/>
  </si>
  <si>
    <t>イベント</t>
  </si>
  <si>
    <t>初品納入日</t>
  </si>
  <si>
    <t>初日台数</t>
  </si>
  <si>
    <t>設通NO</t>
    <rPh sb="0" eb="1">
      <t>セツ</t>
    </rPh>
    <rPh sb="1" eb="2">
      <t>ツウ</t>
    </rPh>
    <phoneticPr fontId="59"/>
  </si>
  <si>
    <t>直近イベント</t>
  </si>
  <si>
    <t>I4K5443</t>
  </si>
  <si>
    <r>
      <t>櫻井</t>
    </r>
    <r>
      <rPr>
        <sz val="9"/>
        <rFont val="ＭＳ Ｐゴシック"/>
        <family val="3"/>
        <charset val="128"/>
      </rPr>
      <t>担当</t>
    </r>
    <rPh sb="0" eb="2">
      <t>サクライ</t>
    </rPh>
    <rPh sb="2" eb="4">
      <t>タントウ</t>
    </rPh>
    <phoneticPr fontId="59"/>
  </si>
  <si>
    <r>
      <t>三浦</t>
    </r>
    <r>
      <rPr>
        <sz val="9"/>
        <rFont val="ＭＳ Ｐゴシック"/>
        <family val="3"/>
        <charset val="128"/>
      </rPr>
      <t>担当</t>
    </r>
    <rPh sb="0" eb="2">
      <t>ミウラ</t>
    </rPh>
    <rPh sb="2" eb="4">
      <t>タントウ</t>
    </rPh>
    <phoneticPr fontId="59"/>
  </si>
  <si>
    <r>
      <t>松本</t>
    </r>
    <r>
      <rPr>
        <sz val="8"/>
        <rFont val="ＭＳ Ｐゴシック"/>
        <family val="3"/>
        <charset val="128"/>
      </rPr>
      <t>課長</t>
    </r>
    <rPh sb="0" eb="2">
      <t>マツモト</t>
    </rPh>
    <rPh sb="2" eb="4">
      <t>カチョウ</t>
    </rPh>
    <phoneticPr fontId="59"/>
  </si>
  <si>
    <r>
      <t>中村</t>
    </r>
    <r>
      <rPr>
        <sz val="8"/>
        <rFont val="ＭＳ Ｐゴシック"/>
        <family val="3"/>
        <charset val="128"/>
      </rPr>
      <t>担当</t>
    </r>
    <rPh sb="0" eb="2">
      <t>ナカムラ</t>
    </rPh>
    <rPh sb="2" eb="4">
      <t>タントウ</t>
    </rPh>
    <phoneticPr fontId="59"/>
  </si>
  <si>
    <r>
      <t>伊藤</t>
    </r>
    <r>
      <rPr>
        <sz val="8"/>
        <rFont val="ＭＳ Ｐゴシック"/>
        <family val="3"/>
        <charset val="128"/>
      </rPr>
      <t>担当</t>
    </r>
    <rPh sb="0" eb="2">
      <t>イトウ</t>
    </rPh>
    <rPh sb="2" eb="4">
      <t>タントウ</t>
    </rPh>
    <phoneticPr fontId="59"/>
  </si>
  <si>
    <r>
      <t>福島</t>
    </r>
    <r>
      <rPr>
        <sz val="8"/>
        <rFont val="ＭＳ Ｐゴシック"/>
        <family val="3"/>
        <charset val="128"/>
      </rPr>
      <t>主任</t>
    </r>
    <rPh sb="0" eb="2">
      <t>フクシマ</t>
    </rPh>
    <rPh sb="2" eb="4">
      <t>シュニン</t>
    </rPh>
    <phoneticPr fontId="59"/>
  </si>
  <si>
    <r>
      <t>木村</t>
    </r>
    <r>
      <rPr>
        <sz val="8"/>
        <rFont val="ＭＳ Ｐゴシック"/>
        <family val="3"/>
        <charset val="128"/>
      </rPr>
      <t>担当</t>
    </r>
    <rPh sb="0" eb="2">
      <t>キムラ</t>
    </rPh>
    <rPh sb="2" eb="4">
      <t>タントウ</t>
    </rPh>
    <phoneticPr fontId="59"/>
  </si>
  <si>
    <r>
      <t>郡上</t>
    </r>
    <r>
      <rPr>
        <sz val="8"/>
        <rFont val="ＭＳ Ｐゴシック"/>
        <family val="3"/>
        <charset val="128"/>
      </rPr>
      <t>主任</t>
    </r>
    <rPh sb="0" eb="2">
      <t>グンジョウ</t>
    </rPh>
    <rPh sb="2" eb="4">
      <t>シュニン</t>
    </rPh>
    <phoneticPr fontId="59"/>
  </si>
  <si>
    <r>
      <t>岡</t>
    </r>
    <r>
      <rPr>
        <sz val="8"/>
        <rFont val="ＭＳ Ｐゴシック"/>
        <family val="3"/>
        <charset val="128"/>
      </rPr>
      <t>担当</t>
    </r>
    <rPh sb="0" eb="1">
      <t>オカ</t>
    </rPh>
    <rPh sb="1" eb="3">
      <t>タントウ</t>
    </rPh>
    <phoneticPr fontId="59"/>
  </si>
  <si>
    <r>
      <t>斉木</t>
    </r>
    <r>
      <rPr>
        <sz val="8"/>
        <rFont val="ＭＳ Ｐゴシック"/>
        <family val="3"/>
        <charset val="128"/>
      </rPr>
      <t>主任</t>
    </r>
    <rPh sb="0" eb="2">
      <t>サイキ</t>
    </rPh>
    <rPh sb="2" eb="4">
      <t>シュニン</t>
    </rPh>
    <phoneticPr fontId="59"/>
  </si>
  <si>
    <r>
      <t>吉永</t>
    </r>
    <r>
      <rPr>
        <sz val="8"/>
        <rFont val="ＭＳ Ｐゴシック"/>
        <family val="3"/>
        <charset val="128"/>
      </rPr>
      <t>課長</t>
    </r>
    <rPh sb="0" eb="2">
      <t>ヨシナガ</t>
    </rPh>
    <rPh sb="2" eb="4">
      <t>カチョウ</t>
    </rPh>
    <phoneticPr fontId="59"/>
  </si>
  <si>
    <r>
      <t>綿引</t>
    </r>
    <r>
      <rPr>
        <sz val="8"/>
        <rFont val="ＭＳ Ｐゴシック"/>
        <family val="3"/>
        <charset val="128"/>
      </rPr>
      <t>担当</t>
    </r>
    <rPh sb="0" eb="2">
      <t>ワタヒキ</t>
    </rPh>
    <rPh sb="2" eb="4">
      <t>タントウ</t>
    </rPh>
    <phoneticPr fontId="59"/>
  </si>
  <si>
    <r>
      <t>大木</t>
    </r>
    <r>
      <rPr>
        <sz val="8"/>
        <rFont val="ＭＳ Ｐゴシック"/>
        <family val="3"/>
        <charset val="128"/>
      </rPr>
      <t>担当</t>
    </r>
    <rPh sb="0" eb="2">
      <t>オオキ</t>
    </rPh>
    <rPh sb="2" eb="4">
      <t>タントウ</t>
    </rPh>
    <phoneticPr fontId="59"/>
  </si>
  <si>
    <r>
      <t>長田</t>
    </r>
    <r>
      <rPr>
        <sz val="8"/>
        <rFont val="ＭＳ Ｐゴシック"/>
        <family val="3"/>
        <charset val="128"/>
      </rPr>
      <t>担当</t>
    </r>
    <rPh sb="0" eb="2">
      <t>オサダ</t>
    </rPh>
    <rPh sb="2" eb="4">
      <t>タントウ</t>
    </rPh>
    <phoneticPr fontId="59"/>
  </si>
  <si>
    <r>
      <t>イー</t>
    </r>
    <r>
      <rPr>
        <sz val="8"/>
        <rFont val="ＭＳ Ｐゴシック"/>
        <family val="3"/>
        <charset val="128"/>
      </rPr>
      <t>担当</t>
    </r>
    <rPh sb="2" eb="4">
      <t>タントウ</t>
    </rPh>
    <phoneticPr fontId="59"/>
  </si>
  <si>
    <t>：参加</t>
    <rPh sb="1" eb="3">
      <t>サンカ</t>
    </rPh>
    <phoneticPr fontId="59"/>
  </si>
  <si>
    <t>：不参加</t>
    <rPh sb="1" eb="4">
      <t>フサンカ</t>
    </rPh>
    <phoneticPr fontId="59"/>
  </si>
  <si>
    <r>
      <rPr>
        <sz val="10"/>
        <rFont val="ＭＳ Ｐゴシック"/>
        <family val="3"/>
        <charset val="128"/>
      </rPr>
      <t>川上</t>
    </r>
    <r>
      <rPr>
        <sz val="8"/>
        <rFont val="ＭＳ Ｐゴシック"/>
        <family val="3"/>
        <charset val="128"/>
      </rPr>
      <t>課長</t>
    </r>
    <rPh sb="0" eb="2">
      <t>カワカミ</t>
    </rPh>
    <rPh sb="2" eb="4">
      <t>カチョウ</t>
    </rPh>
    <rPh sb="3" eb="4">
      <t>チョウ</t>
    </rPh>
    <phoneticPr fontId="59"/>
  </si>
  <si>
    <t xml:space="preserve">VK02 NP*    </t>
    <phoneticPr fontId="74"/>
  </si>
  <si>
    <t>VK00 3X 850幅 B1-GR FRAME ASM 設変出図(内容：FRAME ASM内容品最新化,S/M ASM LH 溶接NUT及びSTIFF SUB SPG BRKT追加,RIVET削除,REINF LH 溶接NUT追加)</t>
  </si>
  <si>
    <t>寺田</t>
    <rPh sb="0" eb="2">
      <t>テラダ</t>
    </rPh>
    <phoneticPr fontId="59"/>
  </si>
  <si>
    <r>
      <t>笹</t>
    </r>
    <r>
      <rPr>
        <sz val="8"/>
        <rFont val="ＭＳ Ｐゴシック"/>
        <family val="3"/>
        <charset val="128"/>
      </rPr>
      <t>主任</t>
    </r>
    <rPh sb="0" eb="1">
      <t>ササ</t>
    </rPh>
    <rPh sb="1" eb="3">
      <t>シュニン</t>
    </rPh>
    <phoneticPr fontId="59"/>
  </si>
  <si>
    <r>
      <t>高橋</t>
    </r>
    <r>
      <rPr>
        <sz val="8"/>
        <rFont val="ＭＳ Ｐゴシック"/>
        <family val="3"/>
        <charset val="128"/>
      </rPr>
      <t>担当</t>
    </r>
    <rPh sb="0" eb="2">
      <t>タカハシ</t>
    </rPh>
    <rPh sb="2" eb="4">
      <t>タントウ</t>
    </rPh>
    <phoneticPr fontId="59"/>
  </si>
  <si>
    <r>
      <t>長友</t>
    </r>
    <r>
      <rPr>
        <sz val="8"/>
        <rFont val="ＭＳ Ｐゴシック"/>
        <family val="3"/>
        <charset val="128"/>
      </rPr>
      <t>主任</t>
    </r>
    <rPh sb="0" eb="2">
      <t>ナガトモ</t>
    </rPh>
    <rPh sb="2" eb="4">
      <t>シュニン</t>
    </rPh>
    <phoneticPr fontId="59"/>
  </si>
  <si>
    <t xml:space="preserve">VK04 A2-GR 1生向け設変出図 </t>
  </si>
  <si>
    <t>VK00B1-Gr NUT数：：\\sv1p000001\藤沢工場\工場向け\P24000(生産管理グループ)\藤沢工場共有フォルダ\企画Ｔｷｬﾋﾞﾈｯﾄ\(07)企画共通\01_小型FRAME\00_プロジェクト\VK00\20250217 輸出 NUT増産進捗確認2\コピー250217_対象品番【850幅】S_MBR構成表_20250214_.xlsx</t>
    <rPh sb="13" eb="14">
      <t>スウ</t>
    </rPh>
    <phoneticPr fontId="59"/>
  </si>
  <si>
    <t>VK04 A1-GR 4*4 量産向け設変出図</t>
  </si>
  <si>
    <t>I4K6545VK05 A,B,C-GR 1生向け設変出図</t>
  </si>
  <si>
    <t>C</t>
    <phoneticPr fontId="75"/>
  </si>
  <si>
    <t xml:space="preserve">FRAME ASM           </t>
    <phoneticPr fontId="75"/>
  </si>
  <si>
    <t xml:space="preserve">VK00  </t>
    <phoneticPr fontId="75"/>
  </si>
  <si>
    <t xml:space="preserve">      </t>
    <phoneticPr fontId="75"/>
  </si>
  <si>
    <t>A</t>
    <phoneticPr fontId="75"/>
  </si>
  <si>
    <t xml:space="preserve">VK00 NMR    </t>
    <phoneticPr fontId="75"/>
  </si>
  <si>
    <t xml:space="preserve">VK00 NPR    </t>
    <phoneticPr fontId="75"/>
  </si>
  <si>
    <t xml:space="preserve">VK00 NKR    </t>
    <phoneticPr fontId="75"/>
  </si>
  <si>
    <t xml:space="preserve">VL01  </t>
    <phoneticPr fontId="75"/>
  </si>
  <si>
    <t xml:space="preserve">VL37  </t>
    <phoneticPr fontId="75"/>
  </si>
  <si>
    <t xml:space="preserve">VL37 NPR    </t>
    <phoneticPr fontId="75"/>
  </si>
  <si>
    <t xml:space="preserve"> YSF  </t>
    <phoneticPr fontId="75"/>
  </si>
  <si>
    <t xml:space="preserve"> YSG  </t>
    <phoneticPr fontId="75"/>
  </si>
  <si>
    <t xml:space="preserve">VL37 NQR    </t>
    <phoneticPr fontId="75"/>
  </si>
  <si>
    <t xml:space="preserve">VK04  </t>
    <phoneticPr fontId="75"/>
  </si>
  <si>
    <t xml:space="preserve">VK04 NKR    </t>
    <phoneticPr fontId="75"/>
  </si>
  <si>
    <t xml:space="preserve">VL20  </t>
    <phoneticPr fontId="75"/>
  </si>
  <si>
    <t xml:space="preserve">VL01 NPR    </t>
    <phoneticPr fontId="75"/>
  </si>
  <si>
    <t xml:space="preserve">VL20 NPR    </t>
    <phoneticPr fontId="75"/>
  </si>
  <si>
    <t xml:space="preserve">I4K5796VK04 A2-GR 1生向け設変出図 </t>
  </si>
  <si>
    <t xml:space="preserve">NMR   </t>
    <phoneticPr fontId="75"/>
  </si>
  <si>
    <t xml:space="preserve">NMR         </t>
    <phoneticPr fontId="75"/>
  </si>
  <si>
    <t>45W</t>
  </si>
  <si>
    <t>46W</t>
  </si>
  <si>
    <t>VK04 A2-GR SOP向け設変出図</t>
  </si>
  <si>
    <t xml:space="preserve"> YSE  </t>
    <phoneticPr fontId="75"/>
  </si>
  <si>
    <t>47W</t>
  </si>
  <si>
    <r>
      <t>川口</t>
    </r>
    <r>
      <rPr>
        <sz val="9"/>
        <rFont val="ＭＳ Ｐゴシック"/>
        <family val="3"/>
        <charset val="128"/>
      </rPr>
      <t>担当</t>
    </r>
    <rPh sb="0" eb="2">
      <t>カワグチ</t>
    </rPh>
    <rPh sb="2" eb="4">
      <t>タントウ</t>
    </rPh>
    <phoneticPr fontId="59"/>
  </si>
  <si>
    <t xml:space="preserve">VK05  </t>
    <phoneticPr fontId="75"/>
  </si>
  <si>
    <t xml:space="preserve">VK05        </t>
    <phoneticPr fontId="75"/>
  </si>
  <si>
    <t xml:space="preserve"> DBV  </t>
    <phoneticPr fontId="75"/>
  </si>
  <si>
    <t xml:space="preserve">VK05 NP*    </t>
    <phoneticPr fontId="75"/>
  </si>
  <si>
    <t>48W</t>
  </si>
  <si>
    <t>■PPC</t>
    <phoneticPr fontId="74"/>
  </si>
  <si>
    <t>期末</t>
    <rPh sb="0" eb="2">
      <t>キマツ</t>
    </rPh>
    <phoneticPr fontId="74"/>
  </si>
  <si>
    <t>☆MC会議</t>
    <rPh sb="3" eb="5">
      <t>カイギ</t>
    </rPh>
    <phoneticPr fontId="74"/>
  </si>
  <si>
    <t>艤装再編SOP</t>
    <rPh sb="0" eb="2">
      <t>ギソウ</t>
    </rPh>
    <rPh sb="2" eb="4">
      <t>サイヘン</t>
    </rPh>
    <phoneticPr fontId="74"/>
  </si>
  <si>
    <t>■MC会議</t>
    <rPh sb="3" eb="5">
      <t>カイギ</t>
    </rPh>
    <phoneticPr fontId="74"/>
  </si>
  <si>
    <t>■10/4MC会議</t>
    <rPh sb="7" eb="9">
      <t>カイギ</t>
    </rPh>
    <phoneticPr fontId="74"/>
  </si>
  <si>
    <t>2022</t>
    <phoneticPr fontId="59"/>
  </si>
  <si>
    <t>7月</t>
    <rPh sb="0" eb="1">
      <t>ガツ</t>
    </rPh>
    <phoneticPr fontId="74"/>
  </si>
  <si>
    <t>8月</t>
    <rPh sb="0" eb="1">
      <t>ガツ</t>
    </rPh>
    <phoneticPr fontId="74"/>
  </si>
  <si>
    <t>9月</t>
    <rPh sb="0" eb="1">
      <t>ガツ</t>
    </rPh>
    <phoneticPr fontId="74"/>
  </si>
  <si>
    <t>10月</t>
    <rPh sb="1" eb="2">
      <t>ガツ</t>
    </rPh>
    <phoneticPr fontId="74"/>
  </si>
  <si>
    <t>11月</t>
    <rPh sb="1" eb="2">
      <t>ガツ</t>
    </rPh>
    <phoneticPr fontId="74"/>
  </si>
  <si>
    <t>12月</t>
    <rPh sb="2" eb="3">
      <t>ガツ</t>
    </rPh>
    <phoneticPr fontId="74"/>
  </si>
  <si>
    <t xml:space="preserve"> 1月</t>
    <rPh sb="1" eb="2">
      <t>ガツ</t>
    </rPh>
    <phoneticPr fontId="75"/>
  </si>
  <si>
    <t>2月</t>
    <rPh sb="1" eb="2">
      <t>ガツ</t>
    </rPh>
    <phoneticPr fontId="75"/>
  </si>
  <si>
    <t>3月</t>
    <rPh sb="1" eb="2">
      <t>ガツ</t>
    </rPh>
    <phoneticPr fontId="75"/>
  </si>
  <si>
    <t>4月</t>
    <rPh sb="1" eb="2">
      <t>ガツ</t>
    </rPh>
    <phoneticPr fontId="75"/>
  </si>
  <si>
    <t>5月</t>
    <rPh sb="1" eb="2">
      <t>ガツ</t>
    </rPh>
    <phoneticPr fontId="75"/>
  </si>
  <si>
    <t>6月</t>
    <rPh sb="1" eb="2">
      <t>ガツ</t>
    </rPh>
    <phoneticPr fontId="75"/>
  </si>
  <si>
    <t>7月</t>
    <rPh sb="1" eb="2">
      <t>ガツ</t>
    </rPh>
    <phoneticPr fontId="75"/>
  </si>
  <si>
    <t>8月</t>
    <rPh sb="1" eb="2">
      <t>ガツ</t>
    </rPh>
    <phoneticPr fontId="75"/>
  </si>
  <si>
    <t>9月</t>
    <rPh sb="1" eb="2">
      <t>ガツ</t>
    </rPh>
    <phoneticPr fontId="75"/>
  </si>
  <si>
    <t>10月</t>
    <rPh sb="2" eb="3">
      <t>ガツ</t>
    </rPh>
    <phoneticPr fontId="75"/>
  </si>
  <si>
    <t>11月</t>
    <rPh sb="2" eb="3">
      <t>ガツ</t>
    </rPh>
    <phoneticPr fontId="75"/>
  </si>
  <si>
    <t>12月</t>
    <rPh sb="2" eb="3">
      <t>ガツ</t>
    </rPh>
    <phoneticPr fontId="75"/>
  </si>
  <si>
    <t>１月</t>
    <rPh sb="1" eb="2">
      <t>ガツ</t>
    </rPh>
    <phoneticPr fontId="74"/>
  </si>
  <si>
    <t>2月</t>
    <rPh sb="1" eb="2">
      <t>ガツ</t>
    </rPh>
    <phoneticPr fontId="74"/>
  </si>
  <si>
    <t>3月</t>
    <rPh sb="1" eb="2">
      <t>ガツ</t>
    </rPh>
    <phoneticPr fontId="74"/>
  </si>
  <si>
    <t>4月</t>
    <rPh sb="1" eb="2">
      <t>ガツ</t>
    </rPh>
    <phoneticPr fontId="74"/>
  </si>
  <si>
    <t>５月</t>
    <rPh sb="1" eb="2">
      <t>ガツ</t>
    </rPh>
    <phoneticPr fontId="74"/>
  </si>
  <si>
    <t>6月</t>
    <rPh sb="1" eb="2">
      <t>ガツ</t>
    </rPh>
    <phoneticPr fontId="74"/>
  </si>
  <si>
    <t>7月</t>
    <rPh sb="1" eb="2">
      <t>ガツ</t>
    </rPh>
    <phoneticPr fontId="74"/>
  </si>
  <si>
    <t>8月</t>
    <rPh sb="1" eb="2">
      <t>ガツ</t>
    </rPh>
    <phoneticPr fontId="74"/>
  </si>
  <si>
    <t>9月</t>
    <rPh sb="1" eb="2">
      <t>ガツ</t>
    </rPh>
    <phoneticPr fontId="74"/>
  </si>
  <si>
    <t>10月</t>
    <rPh sb="2" eb="3">
      <t>ガツ</t>
    </rPh>
    <phoneticPr fontId="74"/>
  </si>
  <si>
    <t>11月</t>
    <rPh sb="2" eb="3">
      <t>ガツ</t>
    </rPh>
    <phoneticPr fontId="74"/>
  </si>
  <si>
    <t>VK00</t>
    <phoneticPr fontId="74"/>
  </si>
  <si>
    <t>EXP</t>
    <phoneticPr fontId="74"/>
  </si>
  <si>
    <t>CKD</t>
    <phoneticPr fontId="74"/>
  </si>
  <si>
    <t>豪州/NZ</t>
    <rPh sb="0" eb="2">
      <t>ゴウシュウ</t>
    </rPh>
    <phoneticPr fontId="74"/>
  </si>
  <si>
    <t>SUP</t>
    <phoneticPr fontId="74"/>
  </si>
  <si>
    <t>C-Gr</t>
    <phoneticPr fontId="74"/>
  </si>
  <si>
    <t>SKD</t>
    <phoneticPr fontId="74"/>
  </si>
  <si>
    <t>□EPD</t>
  </si>
  <si>
    <t>F-Gr</t>
    <phoneticPr fontId="74"/>
  </si>
  <si>
    <t>RZ4E EUROⅥ</t>
    <phoneticPr fontId="74"/>
  </si>
  <si>
    <t>欧州</t>
    <rPh sb="0" eb="2">
      <t>オウシュウ</t>
    </rPh>
    <phoneticPr fontId="74"/>
  </si>
  <si>
    <t>VK04</t>
    <phoneticPr fontId="74"/>
  </si>
  <si>
    <t>A1-Gr</t>
    <phoneticPr fontId="74"/>
  </si>
  <si>
    <t>4JZ1 4x4(低床)</t>
    <phoneticPr fontId="74"/>
  </si>
  <si>
    <t>RZ4E 4x4(ｼｬｼ認証）</t>
    <rPh sb="12" eb="14">
      <t>ニンショウ</t>
    </rPh>
    <phoneticPr fontId="81"/>
  </si>
  <si>
    <t>A2-Gr</t>
    <phoneticPr fontId="74"/>
  </si>
  <si>
    <t>4JZ1 4x2</t>
    <phoneticPr fontId="74"/>
  </si>
  <si>
    <t>B-Gr</t>
    <phoneticPr fontId="74"/>
  </si>
  <si>
    <t>RZ4E(ベンチ認証)</t>
    <rPh sb="8" eb="10">
      <t>ニンショウ</t>
    </rPh>
    <phoneticPr fontId="74"/>
  </si>
  <si>
    <t>4x4(低床)</t>
    <rPh sb="4" eb="6">
      <t>テイショウ</t>
    </rPh>
    <phoneticPr fontId="74"/>
  </si>
  <si>
    <t>HEV</t>
    <phoneticPr fontId="74"/>
  </si>
  <si>
    <t>D-Gr</t>
    <phoneticPr fontId="74"/>
  </si>
  <si>
    <t>・RZ4E (ｼｬｼ認証）</t>
    <rPh sb="10" eb="12">
      <t>ニンショウ</t>
    </rPh>
    <phoneticPr fontId="81"/>
  </si>
  <si>
    <t>４×2</t>
    <phoneticPr fontId="74"/>
  </si>
  <si>
    <t>CS・SU対応</t>
  </si>
  <si>
    <t>VK02</t>
    <phoneticPr fontId="74"/>
  </si>
  <si>
    <t>南ア</t>
    <rPh sb="0" eb="1">
      <t>ナン</t>
    </rPh>
    <phoneticPr fontId="74"/>
  </si>
  <si>
    <t>完成車</t>
    <rPh sb="0" eb="3">
      <t>カンセイシャ</t>
    </rPh>
    <phoneticPr fontId="74"/>
  </si>
  <si>
    <t>A-Gr</t>
    <phoneticPr fontId="74"/>
  </si>
  <si>
    <t>(UAE,サウジアラビア,バーレーン,クェート,オマーン,カタール)</t>
    <phoneticPr fontId="74"/>
  </si>
  <si>
    <t>C1/C2-Gr</t>
    <phoneticPr fontId="74"/>
  </si>
  <si>
    <t>コロンビア/チリ/ペルー/モロッコ/GCC(ADAS)</t>
    <phoneticPr fontId="74"/>
  </si>
  <si>
    <t>ケニア/コスタリカ/フィリピン/ベトナム/一般仕向け</t>
    <rPh sb="21" eb="23">
      <t>イッパン</t>
    </rPh>
    <rPh sb="23" eb="25">
      <t>シム</t>
    </rPh>
    <phoneticPr fontId="74"/>
  </si>
  <si>
    <t>KD</t>
    <phoneticPr fontId="74"/>
  </si>
  <si>
    <t>ケニア/ベトナム</t>
    <phoneticPr fontId="74"/>
  </si>
  <si>
    <t>E-Gr</t>
    <phoneticPr fontId="74"/>
  </si>
  <si>
    <t>エクアドル/アルゼンチン/アルジェリア/パキスタン/エジプト/ウズベキスタン</t>
    <phoneticPr fontId="74"/>
  </si>
  <si>
    <t>パキスタン/ウズベキスタン/エジプト</t>
    <phoneticPr fontId="74"/>
  </si>
  <si>
    <t>CNG Eng搭載車</t>
    <phoneticPr fontId="74"/>
  </si>
  <si>
    <t>トリニダード・トバゴ</t>
    <phoneticPr fontId="74"/>
  </si>
  <si>
    <t>ｳｽﾞﾍﾞｷｽﾀﾝ・南ア・ｴｼﾞﾌﾟﾄ</t>
    <rPh sb="10" eb="11">
      <t>ナン</t>
    </rPh>
    <phoneticPr fontId="74"/>
  </si>
  <si>
    <t>VK06</t>
    <phoneticPr fontId="74"/>
  </si>
  <si>
    <t>US</t>
    <phoneticPr fontId="74"/>
  </si>
  <si>
    <t>VK05</t>
    <phoneticPr fontId="74"/>
  </si>
  <si>
    <t>RZ4E</t>
    <phoneticPr fontId="74"/>
  </si>
  <si>
    <t>RHD</t>
    <phoneticPr fontId="74"/>
  </si>
  <si>
    <t>欧州/ﾄﾙｺ/UK/ｲｽﾗｴﾙ</t>
    <rPh sb="0" eb="2">
      <t>オウシュウ</t>
    </rPh>
    <phoneticPr fontId="74"/>
  </si>
  <si>
    <t>4X4</t>
    <phoneticPr fontId="74"/>
  </si>
  <si>
    <t>東アジア</t>
    <rPh sb="0" eb="1">
      <t>ヒガシ</t>
    </rPh>
    <phoneticPr fontId="74"/>
  </si>
  <si>
    <t xml:space="preserve">F-Gr </t>
    <phoneticPr fontId="74"/>
  </si>
  <si>
    <t xml:space="preserve">G-Gr </t>
    <phoneticPr fontId="74"/>
  </si>
  <si>
    <t xml:space="preserve">H-Gr </t>
    <phoneticPr fontId="74"/>
  </si>
  <si>
    <r>
      <t>瀧澤</t>
    </r>
    <r>
      <rPr>
        <sz val="8"/>
        <rFont val="ＭＳ Ｐゴシック"/>
        <family val="3"/>
        <charset val="128"/>
      </rPr>
      <t>担当</t>
    </r>
    <rPh sb="0" eb="2">
      <t>タキザワ</t>
    </rPh>
    <rPh sb="2" eb="4">
      <t>タントウ</t>
    </rPh>
    <phoneticPr fontId="59"/>
  </si>
  <si>
    <t>49W</t>
  </si>
  <si>
    <t xml:space="preserve">VK05 NMR    </t>
    <phoneticPr fontId="75"/>
  </si>
  <si>
    <t xml:space="preserve">VK00 NP*    </t>
    <phoneticPr fontId="75"/>
  </si>
  <si>
    <t>50W</t>
  </si>
  <si>
    <r>
      <t>宮澤</t>
    </r>
    <r>
      <rPr>
        <sz val="8"/>
        <rFont val="ＭＳ Ｐゴシック"/>
        <family val="3"/>
        <charset val="128"/>
      </rPr>
      <t>担当</t>
    </r>
    <rPh sb="0" eb="2">
      <t>ミヤザワ</t>
    </rPh>
    <rPh sb="2" eb="4">
      <t>タントウ</t>
    </rPh>
    <phoneticPr fontId="59"/>
  </si>
  <si>
    <t>VK11</t>
    <phoneticPr fontId="74"/>
  </si>
  <si>
    <t>主要車型継続</t>
    <rPh sb="0" eb="2">
      <t>シュヨウ</t>
    </rPh>
    <rPh sb="2" eb="4">
      <t>シャガタ</t>
    </rPh>
    <rPh sb="4" eb="6">
      <t>ケイゾク</t>
    </rPh>
    <phoneticPr fontId="74"/>
  </si>
  <si>
    <t>追加車型/派生車型</t>
    <rPh sb="0" eb="2">
      <t>ツイカ</t>
    </rPh>
    <rPh sb="2" eb="4">
      <t>シャガタ</t>
    </rPh>
    <rPh sb="5" eb="7">
      <t>ハセイ</t>
    </rPh>
    <rPh sb="7" eb="9">
      <t>シャガタ</t>
    </rPh>
    <phoneticPr fontId="74"/>
  </si>
  <si>
    <t>EU/UK向け</t>
    <rPh sb="5" eb="6">
      <t>ム</t>
    </rPh>
    <phoneticPr fontId="74"/>
  </si>
  <si>
    <t>51W</t>
  </si>
  <si>
    <t xml:space="preserve">VK04 NPS    </t>
    <phoneticPr fontId="75"/>
  </si>
  <si>
    <t xml:space="preserve">VL20 NMR    </t>
    <phoneticPr fontId="75"/>
  </si>
  <si>
    <t>B</t>
    <phoneticPr fontId="75"/>
  </si>
  <si>
    <t>VK04 DOM向け図面出図</t>
  </si>
  <si>
    <t>VK05 A-GR 欧州/トルコ/UK向け 新規出図</t>
  </si>
  <si>
    <t xml:space="preserve"> TN4  </t>
    <phoneticPr fontId="75"/>
  </si>
  <si>
    <t xml:space="preserve"> BB1  </t>
    <phoneticPr fontId="75"/>
  </si>
  <si>
    <t>1006</t>
  </si>
  <si>
    <t>1008</t>
  </si>
  <si>
    <t>1009</t>
  </si>
  <si>
    <t>1010</t>
  </si>
  <si>
    <t>I4K6681VK00 B-GR アース位置の不具合設変</t>
  </si>
  <si>
    <t>I4K6626VK04 A1/A2-GR 1生向け設変出図</t>
  </si>
  <si>
    <t>52W</t>
  </si>
  <si>
    <t>D</t>
  </si>
  <si>
    <t xml:space="preserve">VK04 NKR    </t>
  </si>
  <si>
    <t xml:space="preserve">      </t>
  </si>
  <si>
    <t xml:space="preserve">FRAME ASM           </t>
  </si>
  <si>
    <t xml:space="preserve">VK04  </t>
  </si>
  <si>
    <t>I3K5492VK05 A-GR 欧州/トルコ/UK向け 新規出図</t>
  </si>
  <si>
    <t xml:space="preserve">NMR   </t>
  </si>
  <si>
    <t xml:space="preserve">VK04 NKS    </t>
  </si>
  <si>
    <t xml:space="preserve">VK04 NMR    </t>
  </si>
  <si>
    <t xml:space="preserve">VK00 NKR    </t>
  </si>
  <si>
    <t xml:space="preserve">VK00  </t>
  </si>
  <si>
    <t xml:space="preserve">VK00 NMR    </t>
  </si>
  <si>
    <t xml:space="preserve">VK05        </t>
  </si>
  <si>
    <t xml:space="preserve">VK05  </t>
  </si>
  <si>
    <t xml:space="preserve"> DBX  </t>
  </si>
  <si>
    <t xml:space="preserve"> DBY  </t>
  </si>
  <si>
    <t xml:space="preserve"> DBT  </t>
  </si>
  <si>
    <t xml:space="preserve">VL26 NKR    </t>
  </si>
  <si>
    <t xml:space="preserve">VL26  </t>
  </si>
  <si>
    <t>A</t>
  </si>
  <si>
    <t xml:space="preserve">VK04 NPS    </t>
  </si>
  <si>
    <t xml:space="preserve">VK00 NPR    </t>
  </si>
  <si>
    <t xml:space="preserve">VK04 NMS    </t>
  </si>
  <si>
    <t xml:space="preserve">VK05 NMR    </t>
  </si>
  <si>
    <t>I4K6792VK00(EXP)B2-GR 量産向け設変出図</t>
  </si>
  <si>
    <t xml:space="preserve">VK04 NPR    </t>
  </si>
  <si>
    <t>I3K5323VK04 DOM向け図面出図</t>
  </si>
  <si>
    <t xml:space="preserve">VK00/VK05   </t>
  </si>
  <si>
    <t>I4K6268VK04 A1-GR 4*4 量産向け設変出図</t>
  </si>
  <si>
    <t>VK00 B2-GR 一生向け 700幅　設変出図(内容:構成部品の最新化、溶接NUT変更)</t>
  </si>
  <si>
    <t xml:space="preserve">VL26 N*R    </t>
  </si>
  <si>
    <t>VL26 A2-GR 一生 国内特装車FRAME ASM、SIDE MEMBER新規出図</t>
  </si>
  <si>
    <t>I4JKV99VK00 3X 750幅 FRAME ASM　設変出図(サ変、NUT,RIVETの変更)　※AAS-LD-12565</t>
  </si>
  <si>
    <t xml:space="preserve">VK02 NMR    </t>
  </si>
  <si>
    <t xml:space="preserve">VK02  </t>
  </si>
  <si>
    <t>VK04 A1/A2-GR 1生向け設変出図</t>
  </si>
  <si>
    <t>I3JBZ26VK00 1X RIGID 一生向けFRAME ASM 新規出図</t>
  </si>
  <si>
    <t>VK00 B-GR アース位置の不具合設変I4K6681</t>
  </si>
  <si>
    <t xml:space="preserve">VK05 NMS    </t>
  </si>
  <si>
    <t xml:space="preserve">VL35 NMS    </t>
  </si>
  <si>
    <t xml:space="preserve">VL35 NPS    </t>
  </si>
  <si>
    <t xml:space="preserve">VL34 NPR    </t>
  </si>
  <si>
    <t xml:space="preserve">VL35 NKS    </t>
  </si>
  <si>
    <t xml:space="preserve">VL24 NMR    </t>
  </si>
  <si>
    <t>VK00 1X 標準</t>
  </si>
  <si>
    <t xml:space="preserve">VL24 NPR    </t>
  </si>
  <si>
    <t xml:space="preserve">VK00 NMS    </t>
  </si>
  <si>
    <t xml:space="preserve">VL26 NPR    </t>
  </si>
  <si>
    <t xml:space="preserve">VN80 NPR    </t>
  </si>
  <si>
    <t>C</t>
  </si>
  <si>
    <t xml:space="preserve">VL27 NPR    </t>
  </si>
  <si>
    <t xml:space="preserve">VK00 NP*    </t>
  </si>
  <si>
    <t>VK05 E-GR K研向け新規出図</t>
  </si>
  <si>
    <t xml:space="preserve">VL20 NQR    </t>
  </si>
  <si>
    <t>I4K5443VK00 3X 850幅 B1-GR FRAME ASM 設変出図(内容：FRAME ASM内容品最新化,S/M ASM LH 溶接NUT及びSTIFF SUB SPG BRKT追加,RIVET削除,REINF LH 溶接NUT追加)</t>
  </si>
  <si>
    <t xml:space="preserve">VK02 NP*    </t>
  </si>
  <si>
    <t>VL20 H4-GR FRAME ASM、SIDE MEMBER 新規出図</t>
  </si>
  <si>
    <t xml:space="preserve">VL37 NPR    </t>
  </si>
  <si>
    <t xml:space="preserve">VDS NPR     </t>
  </si>
  <si>
    <t xml:space="preserve">VL37 NQR    </t>
  </si>
  <si>
    <t xml:space="preserve">VL20 NPS    </t>
  </si>
  <si>
    <t xml:space="preserve">VK00 N**    </t>
  </si>
  <si>
    <t xml:space="preserve">VL32 NPR    </t>
  </si>
  <si>
    <t>1011</t>
  </si>
  <si>
    <t>1014</t>
  </si>
  <si>
    <t>1015</t>
  </si>
  <si>
    <t>1016</t>
  </si>
  <si>
    <t>1017</t>
  </si>
  <si>
    <t>1018</t>
  </si>
  <si>
    <t xml:space="preserve"> HK3  </t>
    <phoneticPr fontId="75"/>
  </si>
  <si>
    <t xml:space="preserve"> HKB  </t>
    <phoneticPr fontId="75"/>
  </si>
  <si>
    <t xml:space="preserve"> HK6  </t>
    <phoneticPr fontId="75"/>
  </si>
  <si>
    <t xml:space="preserve"> HFD  </t>
    <phoneticPr fontId="75"/>
  </si>
  <si>
    <t xml:space="preserve"> HFE  </t>
    <phoneticPr fontId="75"/>
  </si>
  <si>
    <t xml:space="preserve"> DBU  </t>
    <phoneticPr fontId="75"/>
  </si>
  <si>
    <t xml:space="preserve"> FBD  </t>
    <phoneticPr fontId="75"/>
  </si>
  <si>
    <t xml:space="preserve"> EAK  </t>
    <phoneticPr fontId="75"/>
  </si>
  <si>
    <t xml:space="preserve">1SGS  </t>
    <phoneticPr fontId="75"/>
  </si>
  <si>
    <t xml:space="preserve">1SCQ  </t>
    <phoneticPr fontId="75"/>
  </si>
  <si>
    <t xml:space="preserve">1RZ2  </t>
    <phoneticPr fontId="75"/>
  </si>
  <si>
    <t xml:space="preserve"> JHF  </t>
    <phoneticPr fontId="75"/>
  </si>
  <si>
    <t xml:space="preserve"> ZTL  </t>
    <phoneticPr fontId="75"/>
  </si>
  <si>
    <t xml:space="preserve"> DAZ  </t>
    <phoneticPr fontId="75"/>
  </si>
  <si>
    <t xml:space="preserve"> KA3  </t>
    <phoneticPr fontId="75"/>
  </si>
  <si>
    <t xml:space="preserve"> KHG  </t>
    <phoneticPr fontId="75"/>
  </si>
  <si>
    <t xml:space="preserve">1RGK  </t>
    <phoneticPr fontId="75"/>
  </si>
  <si>
    <t xml:space="preserve">1RW8  </t>
    <phoneticPr fontId="75"/>
  </si>
  <si>
    <t xml:space="preserve"> CMM  </t>
    <phoneticPr fontId="75"/>
  </si>
  <si>
    <t>VK00 3X 850幅 B1-GR FRAME ASM 設変出図</t>
    <phoneticPr fontId="59"/>
  </si>
  <si>
    <t>02W</t>
  </si>
  <si>
    <t xml:space="preserve">VK05 NKR    </t>
  </si>
  <si>
    <t>VK00 F-Gr SOP</t>
    <phoneticPr fontId="59"/>
  </si>
  <si>
    <t>1020</t>
  </si>
  <si>
    <t>1021</t>
  </si>
  <si>
    <t>1022</t>
  </si>
  <si>
    <t>1023</t>
  </si>
  <si>
    <t>1024</t>
  </si>
  <si>
    <t xml:space="preserve"> HF9  </t>
    <phoneticPr fontId="75"/>
  </si>
  <si>
    <t xml:space="preserve">VK05 N**    </t>
    <phoneticPr fontId="75"/>
  </si>
  <si>
    <t xml:space="preserve">VK05 NPR    </t>
    <phoneticPr fontId="75"/>
  </si>
  <si>
    <t>VK00 F-Gr SOP/VK05 A-GR 欧州/トルコ/UK向け 新規出図</t>
  </si>
  <si>
    <t>VK00 F-Gr SOP/VK04 A2-GR SOP向け設変出図</t>
  </si>
  <si>
    <t xml:space="preserve"> THA  </t>
    <phoneticPr fontId="75"/>
  </si>
  <si>
    <t xml:space="preserve">1RWD  </t>
    <phoneticPr fontId="75"/>
  </si>
  <si>
    <t>VK00 F-Gr SOP/VK05 A-GR</t>
  </si>
  <si>
    <t xml:space="preserve"> HF6  </t>
    <phoneticPr fontId="75"/>
  </si>
  <si>
    <t xml:space="preserve"> CHE  </t>
    <phoneticPr fontId="75"/>
  </si>
  <si>
    <t xml:space="preserve"> PW2  </t>
    <phoneticPr fontId="75"/>
  </si>
  <si>
    <t xml:space="preserve">1RSB  </t>
    <phoneticPr fontId="75"/>
  </si>
  <si>
    <t xml:space="preserve">1WQH  </t>
    <phoneticPr fontId="75"/>
  </si>
  <si>
    <t xml:space="preserve"> YE6  </t>
    <phoneticPr fontId="75"/>
  </si>
  <si>
    <t xml:space="preserve">NKR   </t>
    <phoneticPr fontId="75"/>
  </si>
  <si>
    <t xml:space="preserve">VL11 NKR    </t>
    <phoneticPr fontId="75"/>
  </si>
  <si>
    <t xml:space="preserve"> DE2  </t>
    <phoneticPr fontId="75"/>
  </si>
  <si>
    <t>VK05 E-GR K研向け新規出図</t>
    <phoneticPr fontId="59"/>
  </si>
  <si>
    <t>03W</t>
  </si>
  <si>
    <t xml:space="preserve">VL26 NMR    </t>
  </si>
  <si>
    <t>I3K5404VK04 A1/A2-GR 1生向け FRAME新規出図</t>
  </si>
  <si>
    <t>I3K4019VK02 A-GR K研 FRAME ASM 新規出図</t>
  </si>
  <si>
    <t xml:space="preserve"> JL7  </t>
  </si>
  <si>
    <t xml:space="preserve">VK02 NPR    </t>
  </si>
  <si>
    <t>1025</t>
  </si>
  <si>
    <t>1027</t>
  </si>
  <si>
    <t>1028</t>
  </si>
  <si>
    <t>1029</t>
  </si>
  <si>
    <t>1030</t>
  </si>
  <si>
    <t>1031</t>
  </si>
  <si>
    <t xml:space="preserve">VK04 NMR    </t>
    <phoneticPr fontId="75"/>
  </si>
  <si>
    <t xml:space="preserve">VK04 NPR    </t>
    <phoneticPr fontId="75"/>
  </si>
  <si>
    <t xml:space="preserve"> LER  </t>
    <phoneticPr fontId="75"/>
  </si>
  <si>
    <t xml:space="preserve">1RSF  </t>
    <phoneticPr fontId="75"/>
  </si>
  <si>
    <t xml:space="preserve"> NC6  </t>
    <phoneticPr fontId="75"/>
  </si>
  <si>
    <t xml:space="preserve"> B01  </t>
    <phoneticPr fontId="75"/>
  </si>
  <si>
    <t xml:space="preserve">VL34  </t>
    <phoneticPr fontId="75"/>
  </si>
  <si>
    <t xml:space="preserve">VL34 NPR    </t>
    <phoneticPr fontId="75"/>
  </si>
  <si>
    <t xml:space="preserve"> WWZ  </t>
    <phoneticPr fontId="75"/>
  </si>
  <si>
    <t xml:space="preserve"> HM5  </t>
    <phoneticPr fontId="75"/>
  </si>
  <si>
    <t xml:space="preserve"> WAD  </t>
    <phoneticPr fontId="75"/>
  </si>
  <si>
    <t xml:space="preserve"> WAC  </t>
    <phoneticPr fontId="75"/>
  </si>
  <si>
    <t xml:space="preserve"> W3L  </t>
    <phoneticPr fontId="75"/>
  </si>
  <si>
    <t xml:space="preserve">VL20 NQR    </t>
    <phoneticPr fontId="75"/>
  </si>
  <si>
    <t xml:space="preserve">1WGR  </t>
    <phoneticPr fontId="75"/>
  </si>
  <si>
    <t xml:space="preserve"> HF4  </t>
    <phoneticPr fontId="75"/>
  </si>
  <si>
    <t>久しぶり</t>
    <rPh sb="0" eb="1">
      <t>ヒサ</t>
    </rPh>
    <phoneticPr fontId="59"/>
  </si>
  <si>
    <t>04W</t>
  </si>
  <si>
    <t xml:space="preserve"> FBH  </t>
  </si>
  <si>
    <t xml:space="preserve"> FBG  </t>
  </si>
  <si>
    <t xml:space="preserve"> DCE  </t>
  </si>
  <si>
    <t xml:space="preserve"> DCG  </t>
  </si>
  <si>
    <t xml:space="preserve"> DCD  </t>
  </si>
  <si>
    <t xml:space="preserve"> DCF  </t>
  </si>
  <si>
    <t xml:space="preserve"> FBF  </t>
  </si>
  <si>
    <t xml:space="preserve"> FBJ  </t>
  </si>
  <si>
    <t>1月</t>
    <rPh sb="1" eb="2">
      <t>ガツ</t>
    </rPh>
    <phoneticPr fontId="74"/>
  </si>
  <si>
    <t>未整合</t>
    <rPh sb="0" eb="1">
      <t>ミ</t>
    </rPh>
    <rPh sb="1" eb="3">
      <t>セイゴウ</t>
    </rPh>
    <phoneticPr fontId="74"/>
  </si>
  <si>
    <t>(除く</t>
    <rPh sb="1" eb="2">
      <t>ノゾ</t>
    </rPh>
    <phoneticPr fontId="74"/>
  </si>
  <si>
    <t>　MZZ、ﾊﾝﾄﾞﾌﾞﾚｰｷ仕様)</t>
    <rPh sb="14" eb="16">
      <t>シヨウ</t>
    </rPh>
    <phoneticPr fontId="74"/>
  </si>
  <si>
    <t>(MZZ、ﾊﾝﾄﾞﾌﾞﾚｰｷ仕様)</t>
    <rPh sb="14" eb="16">
      <t>シヨウ</t>
    </rPh>
    <phoneticPr fontId="74"/>
  </si>
  <si>
    <t>4JZ1 　高型4x4</t>
  </si>
  <si>
    <t>EV</t>
    <phoneticPr fontId="74"/>
  </si>
  <si>
    <t>欧州 N1</t>
    <rPh sb="0" eb="2">
      <t>オウシュウ</t>
    </rPh>
    <phoneticPr fontId="74"/>
  </si>
  <si>
    <r>
      <rPr>
        <b/>
        <u/>
        <sz val="14"/>
        <rFont val="Meiryo UI"/>
        <family val="3"/>
        <charset val="128"/>
      </rPr>
      <t>NG</t>
    </r>
    <r>
      <rPr>
        <b/>
        <sz val="14"/>
        <rFont val="Meiryo UI"/>
        <family val="3"/>
        <charset val="128"/>
      </rPr>
      <t xml:space="preserve"> e-Call</t>
    </r>
    <phoneticPr fontId="74"/>
  </si>
  <si>
    <t xml:space="preserve">(New Generation) </t>
    <phoneticPr fontId="74"/>
  </si>
  <si>
    <t>新規組立は中止</t>
    <rPh sb="0" eb="2">
      <t>シンキ</t>
    </rPh>
    <rPh sb="2" eb="4">
      <t>クミタテ</t>
    </rPh>
    <rPh sb="5" eb="7">
      <t>チュウシ</t>
    </rPh>
    <phoneticPr fontId="74"/>
  </si>
  <si>
    <t>組替えアセスなど必要</t>
    <rPh sb="0" eb="2">
      <t>クミカエ</t>
    </rPh>
    <rPh sb="8" eb="10">
      <t>ヒツヨウ</t>
    </rPh>
    <phoneticPr fontId="74"/>
  </si>
  <si>
    <t>韓国・香港・ｼﾝｶﾞ</t>
    <rPh sb="0" eb="2">
      <t>カンコク</t>
    </rPh>
    <rPh sb="3" eb="5">
      <t>ホンコン</t>
    </rPh>
    <phoneticPr fontId="74"/>
  </si>
  <si>
    <t>イベント追加</t>
    <rPh sb="4" eb="6">
      <t>ツイカ</t>
    </rPh>
    <phoneticPr fontId="74"/>
  </si>
  <si>
    <t>メキシコ</t>
    <phoneticPr fontId="74"/>
  </si>
  <si>
    <t>台湾</t>
    <rPh sb="0" eb="2">
      <t>タイワン</t>
    </rPh>
    <phoneticPr fontId="74"/>
  </si>
  <si>
    <t xml:space="preserve">I4K5796VK04 A2-GR 1生向け設変出図 </t>
    <phoneticPr fontId="59"/>
  </si>
  <si>
    <t>根津担当</t>
    <rPh sb="0" eb="2">
      <t>ネヅ</t>
    </rPh>
    <phoneticPr fontId="59"/>
  </si>
  <si>
    <t>菱沼担当</t>
    <rPh sb="0" eb="2">
      <t>ヒシヌマ</t>
    </rPh>
    <rPh sb="2" eb="4">
      <t>タントウ</t>
    </rPh>
    <phoneticPr fontId="59"/>
  </si>
  <si>
    <t>ISZ 週別確定内示リスト（25-45W）</t>
    <rPh sb="4" eb="5">
      <t>シュウ</t>
    </rPh>
    <rPh sb="5" eb="6">
      <t>ベツ</t>
    </rPh>
    <rPh sb="6" eb="8">
      <t>カクテイ</t>
    </rPh>
    <rPh sb="8" eb="10">
      <t>ナイジ</t>
    </rPh>
    <phoneticPr fontId="57"/>
  </si>
  <si>
    <t>1101</t>
  </si>
  <si>
    <t>1103</t>
  </si>
  <si>
    <t>1104</t>
  </si>
  <si>
    <t>1105</t>
  </si>
  <si>
    <t>1106</t>
  </si>
  <si>
    <t>1107</t>
  </si>
  <si>
    <t>1108</t>
  </si>
  <si>
    <t>VK00 B2-GR 一生向け 700幅　設変出図</t>
    <phoneticPr fontId="75"/>
  </si>
  <si>
    <t xml:space="preserve"> NT1  </t>
    <phoneticPr fontId="75"/>
  </si>
  <si>
    <t xml:space="preserve">VN80 NPR    </t>
    <phoneticPr fontId="75"/>
  </si>
  <si>
    <t xml:space="preserve"> W3S  </t>
    <phoneticPr fontId="75"/>
  </si>
  <si>
    <t xml:space="preserve">VL26  </t>
    <phoneticPr fontId="75"/>
  </si>
  <si>
    <t xml:space="preserve">VL26 N*R    </t>
    <phoneticPr fontId="75"/>
  </si>
  <si>
    <t xml:space="preserve">VL26 NPR    </t>
    <phoneticPr fontId="75"/>
  </si>
  <si>
    <t>I4JLC80VL26 A1-GR 1～3X FRAME ASM　量産設変出図</t>
    <phoneticPr fontId="75"/>
  </si>
  <si>
    <t xml:space="preserve"> SGM  </t>
    <phoneticPr fontId="75"/>
  </si>
  <si>
    <t>KD</t>
  </si>
  <si>
    <t xml:space="preserve">1RSJ  </t>
    <phoneticPr fontId="75"/>
  </si>
  <si>
    <t xml:space="preserve"> GF8  </t>
    <phoneticPr fontId="75"/>
  </si>
  <si>
    <t xml:space="preserve">VK05 NKR    </t>
    <phoneticPr fontId="75"/>
  </si>
  <si>
    <t xml:space="preserve"> HL5  </t>
    <phoneticPr fontId="75"/>
  </si>
  <si>
    <t xml:space="preserve">1RSE  </t>
    <phoneticPr fontId="75"/>
  </si>
  <si>
    <t xml:space="preserve"> LEP  </t>
    <phoneticPr fontId="75"/>
  </si>
  <si>
    <t xml:space="preserve"> W6B  </t>
    <phoneticPr fontId="75"/>
  </si>
  <si>
    <t xml:space="preserve"> RFF  </t>
    <phoneticPr fontId="75"/>
  </si>
  <si>
    <t xml:space="preserve"> A07  </t>
    <phoneticPr fontId="75"/>
  </si>
  <si>
    <t xml:space="preserve"> WSV  </t>
    <phoneticPr fontId="75"/>
  </si>
  <si>
    <t xml:space="preserve">VL24  </t>
    <phoneticPr fontId="75"/>
  </si>
  <si>
    <t xml:space="preserve">VL24 NPR    </t>
    <phoneticPr fontId="75"/>
  </si>
  <si>
    <t xml:space="preserve">1WBB  </t>
    <phoneticPr fontId="75"/>
  </si>
  <si>
    <t xml:space="preserve">1SLF  </t>
    <phoneticPr fontId="75"/>
  </si>
  <si>
    <t xml:space="preserve">1RSC  </t>
    <phoneticPr fontId="75"/>
  </si>
  <si>
    <t xml:space="preserve"> W4C  </t>
    <phoneticPr fontId="75"/>
  </si>
  <si>
    <t xml:space="preserve"> YAB  </t>
    <phoneticPr fontId="75"/>
  </si>
  <si>
    <t>05W</t>
  </si>
  <si>
    <t>I3K5323 VK04 DOM向け図面出図</t>
  </si>
  <si>
    <t>I4K6626 VK04 A1/A2-GR 1生向け設変出図</t>
  </si>
  <si>
    <t>01W</t>
  </si>
  <si>
    <t xml:space="preserve"> FBN</t>
    <phoneticPr fontId="59"/>
  </si>
  <si>
    <t>2,3セット　SM穴変更NUT追加,2CM変更（VK04の水平展開）</t>
    <rPh sb="9" eb="12">
      <t>アナヘンコウ</t>
    </rPh>
    <rPh sb="15" eb="17">
      <t>ツイカ</t>
    </rPh>
    <rPh sb="21" eb="23">
      <t>ヘンコウ</t>
    </rPh>
    <rPh sb="29" eb="33">
      <t>スイヘイテンカイ</t>
    </rPh>
    <phoneticPr fontId="59"/>
  </si>
  <si>
    <t>4,5はセット　NUT2ケ追加（AAS恒久設変）</t>
    <rPh sb="13" eb="15">
      <t>ツイカ</t>
    </rPh>
    <rPh sb="19" eb="23">
      <t>コウキュウセッペン</t>
    </rPh>
    <phoneticPr fontId="59"/>
  </si>
  <si>
    <t>VK11展開会議　来週火曜（A-Gr</t>
    <rPh sb="4" eb="8">
      <t>テンカイカイギ</t>
    </rPh>
    <rPh sb="9" eb="13">
      <t>ライシュウカヨウ</t>
    </rPh>
    <phoneticPr fontId="59"/>
  </si>
  <si>
    <t>1は3CM切り欠き対応（7552241383）FRAME品番は7553102010</t>
    <rPh sb="5" eb="6">
      <t>キ</t>
    </rPh>
    <rPh sb="7" eb="8">
      <t>カ</t>
    </rPh>
    <rPh sb="9" eb="11">
      <t>タイオウ</t>
    </rPh>
    <rPh sb="28" eb="30">
      <t>ヒンバン</t>
    </rPh>
    <phoneticPr fontId="59"/>
  </si>
  <si>
    <t>番号</t>
    <rPh sb="0" eb="2">
      <t>バンゴウ</t>
    </rPh>
    <phoneticPr fontId="102"/>
  </si>
  <si>
    <t>ライン</t>
    <phoneticPr fontId="102"/>
  </si>
  <si>
    <t>新規作成品番</t>
    <rPh sb="0" eb="2">
      <t>シンキ</t>
    </rPh>
    <rPh sb="2" eb="4">
      <t>サクセイ</t>
    </rPh>
    <rPh sb="4" eb="6">
      <t>ヒンバン</t>
    </rPh>
    <phoneticPr fontId="102"/>
  </si>
  <si>
    <t>車型</t>
    <rPh sb="0" eb="2">
      <t>シャカタ</t>
    </rPh>
    <phoneticPr fontId="102"/>
  </si>
  <si>
    <t>指示月日</t>
    <rPh sb="0" eb="2">
      <t>シジ</t>
    </rPh>
    <rPh sb="2" eb="4">
      <t>ガッピ</t>
    </rPh>
    <phoneticPr fontId="102"/>
  </si>
  <si>
    <t>OBL有り</t>
    <rPh sb="3" eb="4">
      <t>アリ</t>
    </rPh>
    <phoneticPr fontId="102"/>
  </si>
  <si>
    <t>BCD部品</t>
    <rPh sb="3" eb="5">
      <t>ブヒン</t>
    </rPh>
    <phoneticPr fontId="102"/>
  </si>
  <si>
    <t>C</t>
    <phoneticPr fontId="102"/>
  </si>
  <si>
    <t>作成日</t>
    <rPh sb="0" eb="2">
      <t>サクセイ</t>
    </rPh>
    <rPh sb="2" eb="3">
      <t>ヒ</t>
    </rPh>
    <phoneticPr fontId="102"/>
  </si>
  <si>
    <t>管理台帳インプット</t>
    <rPh sb="0" eb="2">
      <t>カンリ</t>
    </rPh>
    <rPh sb="2" eb="4">
      <t>ダイチョウ</t>
    </rPh>
    <phoneticPr fontId="102"/>
  </si>
  <si>
    <t>備考(流用元,他)</t>
    <rPh sb="0" eb="2">
      <t>ビコウ</t>
    </rPh>
    <rPh sb="3" eb="6">
      <t>リュウヨウモト</t>
    </rPh>
    <rPh sb="7" eb="8">
      <t>ホカ</t>
    </rPh>
    <phoneticPr fontId="102"/>
  </si>
  <si>
    <t>ライン未定</t>
  </si>
  <si>
    <t>済み</t>
    <rPh sb="0" eb="1">
      <t>ス</t>
    </rPh>
    <phoneticPr fontId="102"/>
  </si>
  <si>
    <t>Aライン、部品クロス要</t>
    <rPh sb="5" eb="7">
      <t>ブヒン</t>
    </rPh>
    <rPh sb="10" eb="11">
      <t>ヨウ</t>
    </rPh>
    <phoneticPr fontId="102"/>
  </si>
  <si>
    <t>Ｃライン、クロス要</t>
    <rPh sb="8" eb="9">
      <t>ヨウ</t>
    </rPh>
    <phoneticPr fontId="103"/>
  </si>
  <si>
    <t>Cライン</t>
    <phoneticPr fontId="102"/>
  </si>
  <si>
    <t>Aライン、部品クロス要</t>
    <rPh sb="5" eb="7">
      <t>ブヒン</t>
    </rPh>
    <rPh sb="10" eb="11">
      <t>ヨウ</t>
    </rPh>
    <phoneticPr fontId="59"/>
  </si>
  <si>
    <t>×5401をコピーした</t>
    <phoneticPr fontId="102"/>
  </si>
  <si>
    <t>不要</t>
    <rPh sb="0" eb="2">
      <t>フヨウ</t>
    </rPh>
    <phoneticPr fontId="102"/>
  </si>
  <si>
    <t>×5631をコピーした</t>
    <phoneticPr fontId="102"/>
  </si>
  <si>
    <t>構成漏れあり、見直し後作成</t>
    <rPh sb="0" eb="2">
      <t>コウセイ</t>
    </rPh>
    <rPh sb="2" eb="3">
      <t>モ</t>
    </rPh>
    <rPh sb="7" eb="9">
      <t>ミナオ</t>
    </rPh>
    <rPh sb="10" eb="11">
      <t>ゴ</t>
    </rPh>
    <rPh sb="11" eb="13">
      <t>サクセイ</t>
    </rPh>
    <phoneticPr fontId="102"/>
  </si>
  <si>
    <t>×5442をコピーした</t>
    <phoneticPr fontId="102"/>
  </si>
  <si>
    <t>×5601をコピーした</t>
    <phoneticPr fontId="102"/>
  </si>
  <si>
    <t>×</t>
    <phoneticPr fontId="102"/>
  </si>
  <si>
    <t>○</t>
    <phoneticPr fontId="102"/>
  </si>
  <si>
    <t xml:space="preserve">VL35 NMS    </t>
    <phoneticPr fontId="102"/>
  </si>
  <si>
    <t>I3JCB85H設変クロース後構成メンテ要</t>
    <rPh sb="8" eb="10">
      <t>セッペン</t>
    </rPh>
    <rPh sb="14" eb="15">
      <t>ゴ</t>
    </rPh>
    <rPh sb="15" eb="17">
      <t>コウセイ</t>
    </rPh>
    <rPh sb="20" eb="21">
      <t>ヨウ</t>
    </rPh>
    <phoneticPr fontId="102"/>
  </si>
  <si>
    <t>5JX5049550</t>
    <phoneticPr fontId="102"/>
  </si>
  <si>
    <t>VL26 N*R</t>
  </si>
  <si>
    <t>－</t>
    <phoneticPr fontId="102"/>
  </si>
  <si>
    <t>5JX5049560</t>
    <phoneticPr fontId="102"/>
  </si>
  <si>
    <t xml:space="preserve">VK00 NKR    </t>
    <phoneticPr fontId="102"/>
  </si>
  <si>
    <t>113  Cライン</t>
    <phoneticPr fontId="59"/>
  </si>
  <si>
    <t>△</t>
    <phoneticPr fontId="102"/>
  </si>
  <si>
    <t>117  Aライン</t>
    <phoneticPr fontId="102"/>
  </si>
  <si>
    <t>5JX5117400</t>
    <phoneticPr fontId="102"/>
  </si>
  <si>
    <t>VK04 NKR</t>
    <phoneticPr fontId="102"/>
  </si>
  <si>
    <t>D　不要</t>
    <rPh sb="2" eb="4">
      <t>フヨウ</t>
    </rPh>
    <phoneticPr fontId="59"/>
  </si>
  <si>
    <t>5JX5068910</t>
    <phoneticPr fontId="102"/>
  </si>
  <si>
    <t>VK00 NMR</t>
    <phoneticPr fontId="102"/>
  </si>
  <si>
    <t>B　不要</t>
    <rPh sb="2" eb="4">
      <t>フヨウ</t>
    </rPh>
    <phoneticPr fontId="59"/>
  </si>
  <si>
    <t>5JX5060040</t>
    <phoneticPr fontId="102"/>
  </si>
  <si>
    <t>VL26 NPR</t>
    <phoneticPr fontId="102"/>
  </si>
  <si>
    <t>5JX5119030</t>
    <phoneticPr fontId="102"/>
  </si>
  <si>
    <t>VK00 NKR</t>
    <phoneticPr fontId="102"/>
  </si>
  <si>
    <t>117  Aライン</t>
    <phoneticPr fontId="59"/>
  </si>
  <si>
    <t>VL26N*R</t>
  </si>
  <si>
    <t>-</t>
    <phoneticPr fontId="102"/>
  </si>
  <si>
    <t xml:space="preserve">VK00 NP*   </t>
  </si>
  <si>
    <t>5JX5136530</t>
    <phoneticPr fontId="102"/>
  </si>
  <si>
    <t>試作向け(8978749101と同仕様)</t>
    <rPh sb="0" eb="2">
      <t>シサク</t>
    </rPh>
    <rPh sb="2" eb="3">
      <t>ム</t>
    </rPh>
    <rPh sb="16" eb="17">
      <t>ドウ</t>
    </rPh>
    <rPh sb="17" eb="19">
      <t>シヨウ</t>
    </rPh>
    <phoneticPr fontId="1"/>
  </si>
  <si>
    <t>113  Cライン</t>
    <phoneticPr fontId="102"/>
  </si>
  <si>
    <t>5JX5136540</t>
    <phoneticPr fontId="102"/>
  </si>
  <si>
    <t>VL26N*R</t>
    <phoneticPr fontId="102"/>
  </si>
  <si>
    <t xml:space="preserve">VL24 NPR  </t>
    <phoneticPr fontId="102"/>
  </si>
  <si>
    <t xml:space="preserve">VK00 NKR </t>
    <phoneticPr fontId="102"/>
  </si>
  <si>
    <t xml:space="preserve">VL35 NPS    </t>
    <phoneticPr fontId="102"/>
  </si>
  <si>
    <t xml:space="preserve">VL35 NKS   </t>
    <phoneticPr fontId="102"/>
  </si>
  <si>
    <t>VL26N初R</t>
    <phoneticPr fontId="102"/>
  </si>
  <si>
    <t>〇</t>
    <phoneticPr fontId="102"/>
  </si>
  <si>
    <t xml:space="preserve">VK00 NPR    </t>
    <phoneticPr fontId="102"/>
  </si>
  <si>
    <t>VK02NMR</t>
  </si>
  <si>
    <t>VK00NMR</t>
  </si>
  <si>
    <t>VK00NPR</t>
  </si>
  <si>
    <t>VK00NKR</t>
  </si>
  <si>
    <t xml:space="preserve">VL20 NMR    </t>
    <phoneticPr fontId="102"/>
  </si>
  <si>
    <t>VL24NMR</t>
  </si>
  <si>
    <t>5JX5188350</t>
    <phoneticPr fontId="74"/>
  </si>
  <si>
    <t>VK04 NKS</t>
    <phoneticPr fontId="74"/>
  </si>
  <si>
    <t>5JX5188790</t>
    <phoneticPr fontId="74"/>
  </si>
  <si>
    <t>VK04 NMS</t>
    <phoneticPr fontId="74"/>
  </si>
  <si>
    <t xml:space="preserve">VL20 NMR </t>
    <phoneticPr fontId="102"/>
  </si>
  <si>
    <t xml:space="preserve">VK00 N**    </t>
    <phoneticPr fontId="102"/>
  </si>
  <si>
    <t xml:space="preserve">VK04 NPR    </t>
    <phoneticPr fontId="74"/>
  </si>
  <si>
    <t xml:space="preserve">VL26 N*R    </t>
    <phoneticPr fontId="74"/>
  </si>
  <si>
    <t>NPS</t>
  </si>
  <si>
    <t xml:space="preserve">VDS NQR     </t>
    <phoneticPr fontId="74"/>
  </si>
  <si>
    <t xml:space="preserve">VDS NMR     </t>
    <phoneticPr fontId="74"/>
  </si>
  <si>
    <t>B　不要</t>
    <rPh sb="2" eb="4">
      <t>フヨウ</t>
    </rPh>
    <phoneticPr fontId="102"/>
  </si>
  <si>
    <t>112  Bライン</t>
    <phoneticPr fontId="59"/>
  </si>
  <si>
    <t>実績有</t>
    <rPh sb="0" eb="2">
      <t>ジッセキ</t>
    </rPh>
    <rPh sb="2" eb="3">
      <t>アリ</t>
    </rPh>
    <phoneticPr fontId="59"/>
  </si>
  <si>
    <t>VK00 N**</t>
    <phoneticPr fontId="102"/>
  </si>
  <si>
    <t xml:space="preserve">VK04 NMS  </t>
  </si>
  <si>
    <t>D</t>
    <phoneticPr fontId="59"/>
  </si>
  <si>
    <t>〇</t>
    <phoneticPr fontId="74"/>
  </si>
  <si>
    <t>ライン未定</t>
    <rPh sb="3" eb="5">
      <t>ミテイ</t>
    </rPh>
    <phoneticPr fontId="59"/>
  </si>
  <si>
    <t>実績あり</t>
    <rPh sb="0" eb="2">
      <t>ジッセキ</t>
    </rPh>
    <phoneticPr fontId="102"/>
  </si>
  <si>
    <t xml:space="preserve">VK04 NP*    </t>
  </si>
  <si>
    <t>〇</t>
    <phoneticPr fontId="59"/>
  </si>
  <si>
    <t>115  Dライン</t>
    <phoneticPr fontId="59"/>
  </si>
  <si>
    <t>〇</t>
  </si>
  <si>
    <t>115  Dライン</t>
  </si>
  <si>
    <t>ライン未定</t>
    <phoneticPr fontId="103"/>
  </si>
  <si>
    <t>VK00</t>
    <phoneticPr fontId="102"/>
  </si>
  <si>
    <t>ライン未定</t>
    <phoneticPr fontId="102"/>
  </si>
  <si>
    <t xml:space="preserve"> 2025/2/12</t>
    <phoneticPr fontId="102"/>
  </si>
  <si>
    <t>113  Cライン</t>
    <phoneticPr fontId="103"/>
  </si>
  <si>
    <t>5JX5304440</t>
    <phoneticPr fontId="102"/>
  </si>
  <si>
    <t>5JX5304920</t>
    <phoneticPr fontId="102"/>
  </si>
  <si>
    <t>VK05 NP*</t>
  </si>
  <si>
    <t>5JX5304440
(7552701710）</t>
    <phoneticPr fontId="74"/>
  </si>
  <si>
    <t>VL20 H5(高型NPS)</t>
    <rPh sb="8" eb="9">
      <t>タカ</t>
    </rPh>
    <rPh sb="9" eb="10">
      <t>ガタ</t>
    </rPh>
    <phoneticPr fontId="1"/>
  </si>
  <si>
    <t xml:space="preserve">VK04 NKR    </t>
    <phoneticPr fontId="102"/>
  </si>
  <si>
    <t xml:space="preserve">VK00 NMR    </t>
    <phoneticPr fontId="102"/>
  </si>
  <si>
    <t>5JX5305800
(7552132050)</t>
    <phoneticPr fontId="74"/>
  </si>
  <si>
    <t>VK05 NP*</t>
    <phoneticPr fontId="74"/>
  </si>
  <si>
    <t>5JX5305810
(7552165121)</t>
    <phoneticPr fontId="74"/>
  </si>
  <si>
    <t xml:space="preserve"> 5JX5304920
(7552127183)</t>
    <phoneticPr fontId="74"/>
  </si>
  <si>
    <t>仕掛</t>
    <rPh sb="0" eb="2">
      <t>シカカ</t>
    </rPh>
    <phoneticPr fontId="102"/>
  </si>
  <si>
    <t>OK</t>
    <phoneticPr fontId="102"/>
  </si>
  <si>
    <t>115  Dライン</t>
    <phoneticPr fontId="102"/>
  </si>
  <si>
    <t>5JX5315130</t>
    <phoneticPr fontId="102"/>
  </si>
  <si>
    <t>VK06 NPR</t>
    <phoneticPr fontId="74"/>
  </si>
  <si>
    <t>5JX5315140</t>
    <phoneticPr fontId="102"/>
  </si>
  <si>
    <t>5JX5315160</t>
    <phoneticPr fontId="74"/>
  </si>
  <si>
    <t>5JX5315170</t>
    <phoneticPr fontId="102"/>
  </si>
  <si>
    <t>5JX5315180</t>
    <phoneticPr fontId="102"/>
  </si>
  <si>
    <t>112  Bライン</t>
    <phoneticPr fontId="102"/>
  </si>
  <si>
    <t>5JX5315150</t>
    <phoneticPr fontId="102"/>
  </si>
  <si>
    <t>5JX5315160</t>
    <phoneticPr fontId="102"/>
  </si>
  <si>
    <t>5JX5337110</t>
    <phoneticPr fontId="102"/>
  </si>
  <si>
    <t>5JX5337120</t>
    <phoneticPr fontId="102"/>
  </si>
  <si>
    <t>ｰｰｰ</t>
    <phoneticPr fontId="102"/>
  </si>
  <si>
    <t>D</t>
    <phoneticPr fontId="102"/>
  </si>
  <si>
    <t>113  Cライン</t>
  </si>
  <si>
    <t>実績有</t>
  </si>
  <si>
    <t>I3K5323</t>
  </si>
  <si>
    <t>VK04 NMR</t>
  </si>
  <si>
    <t>VK04 A2-Gr 軽量700幅</t>
  </si>
  <si>
    <t>VK04 DOM向け図面出図　VK04 A2-Gr 軽量700幅</t>
  </si>
  <si>
    <t>未</t>
  </si>
  <si>
    <t>I3K5492</t>
  </si>
  <si>
    <t>VK05 A-Gr</t>
  </si>
  <si>
    <t>VK05A-Gr</t>
  </si>
  <si>
    <t>VK05 A-Gr 欧州/トルコ/UK向け 新規出図</t>
  </si>
  <si>
    <t>I3K5442</t>
  </si>
  <si>
    <t>VK05 NMR</t>
  </si>
  <si>
    <t>VK05 A/B Gr K研向け出図</t>
  </si>
  <si>
    <t>PA1-5042</t>
  </si>
  <si>
    <t>Ｄ</t>
  </si>
  <si>
    <t>DBT</t>
  </si>
  <si>
    <t>VK04 NKR</t>
  </si>
  <si>
    <t>PA1-5070</t>
  </si>
  <si>
    <t>DBX</t>
  </si>
  <si>
    <t>DBY</t>
  </si>
  <si>
    <t>VK00 N**</t>
  </si>
  <si>
    <t>VK00 B1-Gr 850幅</t>
  </si>
  <si>
    <t>I3K5179</t>
  </si>
  <si>
    <t xml:space="preserve">VL26 A2-GR </t>
  </si>
  <si>
    <t>I4JKV99</t>
  </si>
  <si>
    <t>VK00 NPR</t>
  </si>
  <si>
    <t>3X 750幅</t>
  </si>
  <si>
    <t>【I4JKV99】VK00 3X 750幅 FRAME ASM　設変出図(サ変、NUT,RIVETの変更)　※AAS-LD-12565</t>
  </si>
  <si>
    <t>PA1-3218</t>
  </si>
  <si>
    <t>SCE</t>
  </si>
  <si>
    <t>I4K6268</t>
  </si>
  <si>
    <t>VK04 NPS</t>
  </si>
  <si>
    <t>VK04 A1-Gr</t>
  </si>
  <si>
    <t>VK04 A1-Gr 4X4 量産向け設変出図</t>
  </si>
  <si>
    <t>I3JBZ26</t>
  </si>
  <si>
    <t>VK00 NKR</t>
  </si>
  <si>
    <t>【I3JBZ26】VK00 1X RIGID 一生向けFRAME ASM 新規出図</t>
  </si>
  <si>
    <t>PA1-3108</t>
  </si>
  <si>
    <t>CBR</t>
  </si>
  <si>
    <t>I3K5404</t>
  </si>
  <si>
    <t>VK04 A1/A2-Gr</t>
  </si>
  <si>
    <t>VK04 A1/A2-Gr 1SEI向け新規出図</t>
  </si>
  <si>
    <t>I3K4019</t>
  </si>
  <si>
    <t>VK02 A-Gr</t>
  </si>
  <si>
    <t>PA1-5089</t>
  </si>
  <si>
    <t>JL7</t>
  </si>
  <si>
    <t>SCK</t>
  </si>
  <si>
    <t>I4K5030</t>
  </si>
  <si>
    <t>VK00 B2-Gr 700幅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</si>
</sst>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/mm/dd"/>
    <numFmt numFmtId="177" formatCode="m&quot;月&quot;d&quot;日&quot;;@"/>
    <numFmt numFmtId="178" formatCode="m/d;@"/>
    <numFmt numFmtId="179" formatCode="yy/m/d"/>
    <numFmt numFmtId="180" formatCode="m"/>
    <numFmt numFmtId="181" formatCode="aaa"/>
    <numFmt numFmtId="185" formatCode="yyyy/m/d;@"/>
  </numFmts>
  <fonts count="10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20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Arial Unicode MS"/>
      <family val="3"/>
      <charset val="128"/>
    </font>
    <font>
      <sz val="11"/>
      <name val="Arial Unicode MS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HG丸ｺﾞｼｯｸM-PRO"/>
      <family val="3"/>
      <charset val="128"/>
    </font>
    <font>
      <sz val="11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1"/>
      <name val="游ゴシック"/>
      <family val="3"/>
      <charset val="128"/>
    </font>
    <font>
      <sz val="11"/>
      <name val="Yu Gothic"/>
      <family val="3"/>
      <charset val="128"/>
    </font>
    <font>
      <b/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b/>
      <sz val="18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4"/>
      <name val="Meiryo UI"/>
      <family val="3"/>
      <charset val="128"/>
    </font>
    <font>
      <b/>
      <sz val="1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2"/>
      <color rgb="FF000000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sz val="11"/>
      <color rgb="FFFF0000"/>
      <name val="メイリオ"/>
      <family val="2"/>
      <charset val="128"/>
    </font>
    <font>
      <sz val="11"/>
      <color rgb="FFFF0000"/>
      <name val="メイリオ"/>
      <family val="3"/>
      <charset val="128"/>
    </font>
    <font>
      <b/>
      <u/>
      <sz val="14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sz val="11"/>
      <name val="メイリオ"/>
      <family val="3"/>
      <charset val="128"/>
    </font>
    <font>
      <sz val="11"/>
      <color rgb="FF11111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EF0FA"/>
        <bgColor indexed="64"/>
      </patternFill>
    </fill>
    <fill>
      <patternFill patternType="solid">
        <fgColor rgb="FFFFD9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A5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indexed="64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</borders>
  <cellStyleXfs count="67">
    <xf numFmtId="0" fontId="0" fillId="0" borderId="0">
      <alignment vertical="center"/>
    </xf>
    <xf numFmtId="0" fontId="54" fillId="0" borderId="0">
      <alignment vertical="center"/>
    </xf>
    <xf numFmtId="0" fontId="60" fillId="0" borderId="0">
      <alignment vertical="center"/>
    </xf>
    <xf numFmtId="0" fontId="55" fillId="0" borderId="0">
      <alignment vertical="center"/>
    </xf>
    <xf numFmtId="0" fontId="55" fillId="0" borderId="0"/>
    <xf numFmtId="0" fontId="6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73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00" fillId="0" borderId="0"/>
    <xf numFmtId="0" fontId="1" fillId="0" borderId="0">
      <alignment vertical="center"/>
    </xf>
  </cellStyleXfs>
  <cellXfs count="403">
    <xf numFmtId="0" fontId="0" fillId="0" borderId="0" xfId="0">
      <alignment vertical="center"/>
    </xf>
    <xf numFmtId="0" fontId="54" fillId="0" borderId="0" xfId="1">
      <alignment vertical="center"/>
    </xf>
    <xf numFmtId="0" fontId="54" fillId="0" borderId="0" xfId="1" applyFill="1">
      <alignment vertical="center"/>
    </xf>
    <xf numFmtId="0" fontId="56" fillId="0" borderId="0" xfId="1" applyFont="1">
      <alignment vertical="center"/>
    </xf>
    <xf numFmtId="0" fontId="58" fillId="0" borderId="0" xfId="1" applyFont="1" applyFill="1" applyAlignment="1">
      <alignment horizontal="left" vertical="center"/>
    </xf>
    <xf numFmtId="0" fontId="54" fillId="0" borderId="0" xfId="1" applyBorder="1" applyAlignment="1">
      <alignment vertical="center"/>
    </xf>
    <xf numFmtId="0" fontId="54" fillId="0" borderId="0" xfId="1" applyAlignment="1">
      <alignment horizontal="right" vertical="center"/>
    </xf>
    <xf numFmtId="177" fontId="55" fillId="0" borderId="0" xfId="3" applyNumberFormat="1" applyFont="1" applyFill="1" applyAlignment="1">
      <alignment horizontal="center" vertical="center" shrinkToFit="1"/>
    </xf>
    <xf numFmtId="0" fontId="63" fillId="0" borderId="0" xfId="3" applyFont="1" applyFill="1" applyAlignment="1">
      <alignment horizontal="center" vertical="center" wrapText="1" shrinkToFit="1"/>
    </xf>
    <xf numFmtId="0" fontId="55" fillId="0" borderId="0" xfId="3" applyFont="1" applyFill="1">
      <alignment vertical="center"/>
    </xf>
    <xf numFmtId="177" fontId="55" fillId="0" borderId="0" xfId="3" applyNumberFormat="1" applyFill="1" applyAlignment="1">
      <alignment horizontal="center" vertical="center" shrinkToFit="1"/>
    </xf>
    <xf numFmtId="0" fontId="55" fillId="0" borderId="0" xfId="3" applyFill="1">
      <alignment vertical="center"/>
    </xf>
    <xf numFmtId="0" fontId="0" fillId="0" borderId="0" xfId="0" applyFont="1">
      <alignment vertical="center"/>
    </xf>
    <xf numFmtId="0" fontId="54" fillId="0" borderId="0" xfId="1" applyBorder="1">
      <alignment vertical="center"/>
    </xf>
    <xf numFmtId="0" fontId="54" fillId="0" borderId="0" xfId="1" applyFill="1" applyBorder="1">
      <alignment vertical="center"/>
    </xf>
    <xf numFmtId="0" fontId="55" fillId="0" borderId="0" xfId="3" applyFont="1" applyFill="1" applyBorder="1" applyAlignment="1" applyProtection="1">
      <alignment horizontal="right" vertical="center" shrinkToFit="1"/>
      <protection locked="0"/>
    </xf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8" fillId="0" borderId="0" xfId="0" applyFont="1" applyFill="1" applyAlignment="1">
      <alignment horizontal="left" vertical="center"/>
    </xf>
    <xf numFmtId="0" fontId="66" fillId="0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55" fillId="0" borderId="1" xfId="3" applyFont="1" applyFill="1" applyBorder="1" applyAlignment="1" applyProtection="1">
      <alignment horizontal="center" vertical="center" shrinkToFit="1"/>
      <protection locked="0"/>
    </xf>
    <xf numFmtId="0" fontId="54" fillId="0" borderId="0" xfId="1" applyFill="1" applyBorder="1" applyAlignment="1">
      <alignment horizontal="right" vertical="center"/>
    </xf>
    <xf numFmtId="0" fontId="54" fillId="0" borderId="0" xfId="1" applyFill="1" applyAlignment="1">
      <alignment horizontal="right" vertical="center"/>
    </xf>
    <xf numFmtId="0" fontId="69" fillId="0" borderId="0" xfId="1" applyFont="1">
      <alignment vertical="center"/>
    </xf>
    <xf numFmtId="0" fontId="54" fillId="0" borderId="0" xfId="1" applyFont="1" applyFill="1">
      <alignment vertical="center"/>
    </xf>
    <xf numFmtId="0" fontId="70" fillId="0" borderId="0" xfId="1" applyFont="1" applyFill="1" applyAlignment="1">
      <alignment horizontal="left" vertical="center"/>
    </xf>
    <xf numFmtId="0" fontId="54" fillId="0" borderId="0" xfId="1" applyFont="1" applyBorder="1" applyAlignment="1">
      <alignment vertical="center"/>
    </xf>
    <xf numFmtId="0" fontId="54" fillId="0" borderId="0" xfId="1" applyFont="1">
      <alignment vertical="center"/>
    </xf>
    <xf numFmtId="0" fontId="55" fillId="0" borderId="0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55" fillId="0" borderId="1" xfId="3" applyFont="1" applyFill="1" applyBorder="1" applyAlignment="1" applyProtection="1">
      <alignment horizontal="left" vertical="center"/>
      <protection locked="0"/>
    </xf>
    <xf numFmtId="0" fontId="55" fillId="0" borderId="6" xfId="3" applyFont="1" applyFill="1" applyBorder="1" applyAlignment="1" applyProtection="1">
      <alignment horizontal="center" vertical="center" shrinkToFit="1"/>
      <protection locked="0"/>
    </xf>
    <xf numFmtId="0" fontId="55" fillId="0" borderId="17" xfId="3" applyFont="1" applyFill="1" applyBorder="1" applyAlignment="1" applyProtection="1">
      <alignment horizontal="center" vertical="center" shrinkToFit="1"/>
      <protection locked="0"/>
    </xf>
    <xf numFmtId="0" fontId="55" fillId="0" borderId="16" xfId="3" applyFont="1" applyFill="1" applyBorder="1" applyAlignment="1" applyProtection="1">
      <alignment horizontal="center" vertical="center" shrinkToFit="1"/>
      <protection locked="0"/>
    </xf>
    <xf numFmtId="176" fontId="71" fillId="5" borderId="3" xfId="2" applyNumberFormat="1" applyFont="1" applyFill="1" applyBorder="1" applyAlignment="1">
      <alignment horizontal="center" vertical="center" wrapText="1" shrinkToFit="1"/>
    </xf>
    <xf numFmtId="0" fontId="0" fillId="0" borderId="1" xfId="0" applyFont="1" applyBorder="1" applyAlignment="1">
      <alignment horizontal="center" vertical="center"/>
    </xf>
    <xf numFmtId="0" fontId="55" fillId="0" borderId="0" xfId="0" quotePrefix="1" applyFont="1" applyFill="1" applyBorder="1" applyAlignment="1">
      <alignment horizontal="center" vertical="center"/>
    </xf>
    <xf numFmtId="0" fontId="55" fillId="5" borderId="3" xfId="0" applyFont="1" applyFill="1" applyBorder="1" applyAlignment="1">
      <alignment horizontal="center" vertical="center"/>
    </xf>
    <xf numFmtId="0" fontId="55" fillId="5" borderId="3" xfId="0" applyFont="1" applyFill="1" applyBorder="1" applyAlignment="1">
      <alignment horizontal="center" vertical="center" wrapText="1"/>
    </xf>
    <xf numFmtId="0" fontId="55" fillId="5" borderId="3" xfId="0" applyFont="1" applyFill="1" applyBorder="1" applyAlignment="1">
      <alignment horizontal="center" vertical="center" shrinkToFit="1"/>
    </xf>
    <xf numFmtId="0" fontId="55" fillId="5" borderId="2" xfId="0" applyFont="1" applyFill="1" applyBorder="1" applyAlignment="1">
      <alignment horizontal="center" vertical="center"/>
    </xf>
    <xf numFmtId="0" fontId="55" fillId="9" borderId="7" xfId="0" applyFont="1" applyFill="1" applyBorder="1" applyAlignment="1">
      <alignment horizontal="center" vertical="center" wrapText="1" shrinkToFit="1"/>
    </xf>
    <xf numFmtId="0" fontId="55" fillId="9" borderId="19" xfId="0" applyFont="1" applyFill="1" applyBorder="1" applyAlignment="1">
      <alignment horizontal="center" vertical="center" wrapText="1" shrinkToFit="1"/>
    </xf>
    <xf numFmtId="0" fontId="72" fillId="0" borderId="0" xfId="12">
      <alignment vertical="center"/>
    </xf>
    <xf numFmtId="0" fontId="68" fillId="0" borderId="1" xfId="0" applyFont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 wrapText="1"/>
    </xf>
    <xf numFmtId="179" fontId="55" fillId="0" borderId="1" xfId="3" applyNumberFormat="1" applyFont="1" applyFill="1" applyBorder="1" applyAlignment="1" applyProtection="1">
      <alignment horizontal="center" vertical="center" shrinkToFit="1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54" fillId="2" borderId="0" xfId="1" applyNumberFormat="1" applyFont="1" applyFill="1" applyBorder="1" applyAlignment="1">
      <alignment vertical="center" shrinkToFit="1"/>
    </xf>
    <xf numFmtId="178" fontId="54" fillId="0" borderId="0" xfId="1" applyNumberFormat="1" applyFont="1" applyFill="1" applyBorder="1" applyAlignment="1">
      <alignment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54" fillId="0" borderId="0" xfId="1" applyFill="1" applyAlignment="1">
      <alignment vertical="center"/>
    </xf>
    <xf numFmtId="0" fontId="54" fillId="0" borderId="0" xfId="1" applyFont="1" applyFill="1" applyAlignment="1">
      <alignment vertical="center"/>
    </xf>
    <xf numFmtId="0" fontId="55" fillId="0" borderId="0" xfId="3" applyFont="1" applyFill="1" applyBorder="1" applyAlignment="1" applyProtection="1">
      <alignment vertical="center" shrinkToFit="1"/>
      <protection locked="0"/>
    </xf>
    <xf numFmtId="0" fontId="54" fillId="0" borderId="0" xfId="1" applyFill="1" applyBorder="1" applyAlignment="1">
      <alignment vertical="center"/>
    </xf>
    <xf numFmtId="0" fontId="77" fillId="0" borderId="0" xfId="0" applyFont="1">
      <alignment vertical="center"/>
    </xf>
    <xf numFmtId="0" fontId="76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17" fillId="0" borderId="0" xfId="48">
      <alignment vertical="center"/>
    </xf>
    <xf numFmtId="0" fontId="78" fillId="8" borderId="0" xfId="48" applyFont="1" applyFill="1">
      <alignment vertical="center"/>
    </xf>
    <xf numFmtId="0" fontId="79" fillId="8" borderId="0" xfId="48" applyFont="1" applyFill="1">
      <alignment vertical="center"/>
    </xf>
    <xf numFmtId="0" fontId="80" fillId="8" borderId="0" xfId="28" applyFont="1" applyFill="1">
      <alignment vertical="center"/>
    </xf>
    <xf numFmtId="0" fontId="79" fillId="3" borderId="0" xfId="48" applyFont="1" applyFill="1">
      <alignment vertical="center"/>
    </xf>
    <xf numFmtId="0" fontId="81" fillId="8" borderId="0" xfId="48" applyFont="1" applyFill="1">
      <alignment vertical="center"/>
    </xf>
    <xf numFmtId="0" fontId="82" fillId="0" borderId="0" xfId="48" applyFont="1">
      <alignment vertical="center"/>
    </xf>
    <xf numFmtId="49" fontId="83" fillId="0" borderId="7" xfId="48" applyNumberFormat="1" applyFont="1" applyBorder="1" applyAlignment="1"/>
    <xf numFmtId="49" fontId="83" fillId="0" borderId="22" xfId="48" applyNumberFormat="1" applyFont="1" applyBorder="1" applyAlignment="1"/>
    <xf numFmtId="0" fontId="83" fillId="0" borderId="6" xfId="48" quotePrefix="1" applyFont="1" applyBorder="1" applyAlignment="1">
      <alignment horizontal="centerContinuous"/>
    </xf>
    <xf numFmtId="0" fontId="83" fillId="0" borderId="8" xfId="48" quotePrefix="1" applyFont="1" applyBorder="1" applyAlignment="1">
      <alignment horizontal="centerContinuous"/>
    </xf>
    <xf numFmtId="0" fontId="83" fillId="3" borderId="8" xfId="48" quotePrefix="1" applyFont="1" applyFill="1" applyBorder="1" applyAlignment="1">
      <alignment horizontal="centerContinuous"/>
    </xf>
    <xf numFmtId="0" fontId="83" fillId="0" borderId="9" xfId="48" quotePrefix="1" applyFont="1" applyBorder="1" applyAlignment="1">
      <alignment horizontal="centerContinuous"/>
    </xf>
    <xf numFmtId="0" fontId="84" fillId="0" borderId="6" xfId="48" applyFont="1" applyBorder="1" applyAlignment="1">
      <alignment horizontal="centerContinuous" vertical="top"/>
    </xf>
    <xf numFmtId="0" fontId="84" fillId="0" borderId="8" xfId="48" applyFont="1" applyBorder="1" applyAlignment="1">
      <alignment horizontal="centerContinuous" vertical="top"/>
    </xf>
    <xf numFmtId="0" fontId="84" fillId="0" borderId="9" xfId="48" applyFont="1" applyBorder="1" applyAlignment="1">
      <alignment horizontal="centerContinuous" vertical="top"/>
    </xf>
    <xf numFmtId="0" fontId="84" fillId="0" borderId="22" xfId="48" applyFont="1" applyBorder="1" applyAlignment="1">
      <alignment horizontal="centerContinuous" vertical="top"/>
    </xf>
    <xf numFmtId="49" fontId="85" fillId="0" borderId="4" xfId="48" applyNumberFormat="1" applyFont="1" applyBorder="1" applyAlignment="1">
      <alignment horizontal="left"/>
    </xf>
    <xf numFmtId="49" fontId="80" fillId="0" borderId="5" xfId="48" applyNumberFormat="1" applyFont="1" applyBorder="1" applyAlignment="1">
      <alignment horizontal="center"/>
    </xf>
    <xf numFmtId="180" fontId="80" fillId="16" borderId="6" xfId="48" quotePrefix="1" applyNumberFormat="1" applyFont="1" applyFill="1" applyBorder="1" applyAlignment="1">
      <alignment horizontal="centerContinuous" vertical="center"/>
    </xf>
    <xf numFmtId="0" fontId="80" fillId="16" borderId="8" xfId="48" quotePrefix="1" applyFont="1" applyFill="1" applyBorder="1" applyAlignment="1">
      <alignment horizontal="centerContinuous" vertical="center"/>
    </xf>
    <xf numFmtId="0" fontId="80" fillId="16" borderId="9" xfId="48" quotePrefix="1" applyFont="1" applyFill="1" applyBorder="1" applyAlignment="1">
      <alignment horizontal="centerContinuous" vertical="center"/>
    </xf>
    <xf numFmtId="180" fontId="80" fillId="16" borderId="8" xfId="48" quotePrefix="1" applyNumberFormat="1" applyFont="1" applyFill="1" applyBorder="1" applyAlignment="1">
      <alignment horizontal="centerContinuous" vertical="center"/>
    </xf>
    <xf numFmtId="0" fontId="80" fillId="3" borderId="8" xfId="48" quotePrefix="1" applyFont="1" applyFill="1" applyBorder="1" applyAlignment="1">
      <alignment horizontal="centerContinuous" vertical="center"/>
    </xf>
    <xf numFmtId="0" fontId="80" fillId="3" borderId="9" xfId="48" quotePrefix="1" applyFont="1" applyFill="1" applyBorder="1" applyAlignment="1">
      <alignment horizontal="centerContinuous" vertical="center"/>
    </xf>
    <xf numFmtId="0" fontId="86" fillId="16" borderId="1" xfId="48" quotePrefix="1" applyFont="1" applyFill="1" applyBorder="1">
      <alignment vertical="center"/>
    </xf>
    <xf numFmtId="0" fontId="86" fillId="16" borderId="8" xfId="48" quotePrefix="1" applyFont="1" applyFill="1" applyBorder="1">
      <alignment vertical="center"/>
    </xf>
    <xf numFmtId="0" fontId="86" fillId="16" borderId="9" xfId="48" quotePrefix="1" applyFont="1" applyFill="1" applyBorder="1">
      <alignment vertical="center"/>
    </xf>
    <xf numFmtId="0" fontId="86" fillId="16" borderId="6" xfId="48" quotePrefix="1" applyFont="1" applyFill="1" applyBorder="1">
      <alignment vertical="center"/>
    </xf>
    <xf numFmtId="0" fontId="87" fillId="12" borderId="6" xfId="49" quotePrefix="1" applyFont="1" applyFill="1" applyBorder="1">
      <alignment vertical="center"/>
    </xf>
    <xf numFmtId="0" fontId="87" fillId="12" borderId="8" xfId="49" applyFont="1" applyFill="1" applyBorder="1">
      <alignment vertical="center"/>
    </xf>
    <xf numFmtId="0" fontId="87" fillId="12" borderId="9" xfId="49" applyFont="1" applyFill="1" applyBorder="1">
      <alignment vertical="center"/>
    </xf>
    <xf numFmtId="0" fontId="87" fillId="12" borderId="23" xfId="49" applyFont="1" applyFill="1" applyBorder="1">
      <alignment vertical="center"/>
    </xf>
    <xf numFmtId="0" fontId="87" fillId="12" borderId="22" xfId="49" applyFont="1" applyFill="1" applyBorder="1">
      <alignment vertical="center"/>
    </xf>
    <xf numFmtId="0" fontId="87" fillId="12" borderId="24" xfId="49" applyFont="1" applyFill="1" applyBorder="1">
      <alignment vertical="center"/>
    </xf>
    <xf numFmtId="0" fontId="88" fillId="12" borderId="22" xfId="49" applyFont="1" applyFill="1" applyBorder="1">
      <alignment vertical="center"/>
    </xf>
    <xf numFmtId="0" fontId="88" fillId="12" borderId="22" xfId="49" quotePrefix="1" applyFont="1" applyFill="1" applyBorder="1">
      <alignment vertical="center"/>
    </xf>
    <xf numFmtId="181" fontId="87" fillId="13" borderId="23" xfId="48" applyNumberFormat="1" applyFont="1" applyFill="1" applyBorder="1">
      <alignment vertical="center"/>
    </xf>
    <xf numFmtId="0" fontId="87" fillId="13" borderId="22" xfId="49" applyFont="1" applyFill="1" applyBorder="1">
      <alignment vertical="center"/>
    </xf>
    <xf numFmtId="0" fontId="87" fillId="13" borderId="22" xfId="48" applyFont="1" applyFill="1" applyBorder="1">
      <alignment vertical="center"/>
    </xf>
    <xf numFmtId="0" fontId="87" fillId="13" borderId="23" xfId="48" applyFont="1" applyFill="1" applyBorder="1">
      <alignment vertical="center"/>
    </xf>
    <xf numFmtId="0" fontId="87" fillId="13" borderId="24" xfId="48" applyFont="1" applyFill="1" applyBorder="1">
      <alignment vertical="center"/>
    </xf>
    <xf numFmtId="0" fontId="87" fillId="13" borderId="24" xfId="49" applyFont="1" applyFill="1" applyBorder="1">
      <alignment vertical="center"/>
    </xf>
    <xf numFmtId="181" fontId="87" fillId="13" borderId="22" xfId="48" applyNumberFormat="1" applyFont="1" applyFill="1" applyBorder="1">
      <alignment vertical="center"/>
    </xf>
    <xf numFmtId="0" fontId="17" fillId="0" borderId="10" xfId="48" applyBorder="1">
      <alignment vertical="center"/>
    </xf>
    <xf numFmtId="0" fontId="17" fillId="0" borderId="5" xfId="48" applyBorder="1">
      <alignment vertical="center"/>
    </xf>
    <xf numFmtId="0" fontId="17" fillId="17" borderId="0" xfId="48" applyFill="1">
      <alignment vertical="center"/>
    </xf>
    <xf numFmtId="0" fontId="17" fillId="0" borderId="25" xfId="48" applyBorder="1">
      <alignment vertical="center"/>
    </xf>
    <xf numFmtId="0" fontId="17" fillId="0" borderId="31" xfId="48" applyBorder="1">
      <alignment vertical="center"/>
    </xf>
    <xf numFmtId="49" fontId="85" fillId="10" borderId="25" xfId="48" applyNumberFormat="1" applyFont="1" applyFill="1" applyBorder="1" applyAlignment="1">
      <alignment horizontal="center"/>
    </xf>
    <xf numFmtId="49" fontId="85" fillId="0" borderId="0" xfId="48" applyNumberFormat="1" applyFont="1" applyAlignment="1">
      <alignment horizontal="center"/>
    </xf>
    <xf numFmtId="0" fontId="89" fillId="17" borderId="26" xfId="48" applyFont="1" applyFill="1" applyBorder="1" applyAlignment="1"/>
    <xf numFmtId="0" fontId="89" fillId="0" borderId="27" xfId="48" applyFont="1" applyBorder="1" applyAlignment="1"/>
    <xf numFmtId="0" fontId="89" fillId="0" borderId="28" xfId="48" applyFont="1" applyBorder="1" applyAlignment="1"/>
    <xf numFmtId="0" fontId="89" fillId="0" borderId="29" xfId="48" applyFont="1" applyBorder="1" applyAlignment="1"/>
    <xf numFmtId="0" fontId="89" fillId="0" borderId="26" xfId="48" applyFont="1" applyBorder="1" applyAlignment="1"/>
    <xf numFmtId="0" fontId="89" fillId="17" borderId="27" xfId="48" applyFont="1" applyFill="1" applyBorder="1" applyAlignment="1"/>
    <xf numFmtId="0" fontId="89" fillId="0" borderId="30" xfId="48" applyFont="1" applyBorder="1" applyAlignment="1"/>
    <xf numFmtId="0" fontId="17" fillId="17" borderId="26" xfId="48" applyFill="1" applyBorder="1">
      <alignment vertical="center"/>
    </xf>
    <xf numFmtId="0" fontId="17" fillId="0" borderId="27" xfId="48" applyBorder="1">
      <alignment vertical="center"/>
    </xf>
    <xf numFmtId="0" fontId="89" fillId="0" borderId="0" xfId="48" applyFont="1" applyAlignment="1"/>
    <xf numFmtId="0" fontId="17" fillId="0" borderId="30" xfId="48" applyBorder="1">
      <alignment vertical="center"/>
    </xf>
    <xf numFmtId="0" fontId="17" fillId="17" borderId="25" xfId="48" applyFill="1" applyBorder="1">
      <alignment vertical="center"/>
    </xf>
    <xf numFmtId="0" fontId="90" fillId="0" borderId="0" xfId="48" applyFont="1">
      <alignment vertical="center"/>
    </xf>
    <xf numFmtId="0" fontId="91" fillId="0" borderId="31" xfId="48" applyFont="1" applyBorder="1">
      <alignment vertical="center"/>
    </xf>
    <xf numFmtId="49" fontId="85" fillId="10" borderId="32" xfId="48" applyNumberFormat="1" applyFont="1" applyFill="1" applyBorder="1" applyAlignment="1">
      <alignment horizontal="center"/>
    </xf>
    <xf numFmtId="0" fontId="17" fillId="0" borderId="33" xfId="48" applyBorder="1">
      <alignment vertical="center"/>
    </xf>
    <xf numFmtId="0" fontId="17" fillId="0" borderId="34" xfId="48" applyBorder="1">
      <alignment vertical="center"/>
    </xf>
    <xf numFmtId="0" fontId="17" fillId="17" borderId="33" xfId="48" applyFill="1" applyBorder="1">
      <alignment vertical="center"/>
    </xf>
    <xf numFmtId="0" fontId="17" fillId="0" borderId="32" xfId="48" applyBorder="1">
      <alignment vertical="center"/>
    </xf>
    <xf numFmtId="0" fontId="17" fillId="17" borderId="32" xfId="48" applyFill="1" applyBorder="1">
      <alignment vertical="center"/>
    </xf>
    <xf numFmtId="0" fontId="17" fillId="0" borderId="35" xfId="48" applyBorder="1">
      <alignment vertical="center"/>
    </xf>
    <xf numFmtId="0" fontId="17" fillId="0" borderId="36" xfId="48" applyBorder="1">
      <alignment vertical="center"/>
    </xf>
    <xf numFmtId="0" fontId="17" fillId="17" borderId="36" xfId="48" applyFill="1" applyBorder="1">
      <alignment vertical="center"/>
    </xf>
    <xf numFmtId="0" fontId="81" fillId="0" borderId="36" xfId="48" applyFont="1" applyBorder="1">
      <alignment vertical="center"/>
    </xf>
    <xf numFmtId="0" fontId="17" fillId="0" borderId="37" xfId="48" applyBorder="1">
      <alignment vertical="center"/>
    </xf>
    <xf numFmtId="0" fontId="92" fillId="0" borderId="35" xfId="48" applyFont="1" applyBorder="1">
      <alignment vertical="center"/>
    </xf>
    <xf numFmtId="0" fontId="17" fillId="17" borderId="37" xfId="48" applyFill="1" applyBorder="1">
      <alignment vertical="center"/>
    </xf>
    <xf numFmtId="0" fontId="17" fillId="0" borderId="27" xfId="48" applyBorder="1" applyAlignment="1">
      <alignment horizontal="center" vertical="center"/>
    </xf>
    <xf numFmtId="49" fontId="85" fillId="0" borderId="33" xfId="48" applyNumberFormat="1" applyFont="1" applyBorder="1" applyAlignment="1">
      <alignment horizontal="center"/>
    </xf>
    <xf numFmtId="0" fontId="89" fillId="17" borderId="38" xfId="48" applyFont="1" applyFill="1" applyBorder="1" applyAlignment="1"/>
    <xf numFmtId="0" fontId="89" fillId="0" borderId="39" xfId="48" applyFont="1" applyBorder="1" applyAlignment="1"/>
    <xf numFmtId="0" fontId="89" fillId="0" borderId="40" xfId="48" applyFont="1" applyBorder="1" applyAlignment="1"/>
    <xf numFmtId="0" fontId="89" fillId="0" borderId="41" xfId="48" applyFont="1" applyBorder="1" applyAlignment="1"/>
    <xf numFmtId="0" fontId="89" fillId="0" borderId="38" xfId="48" applyFont="1" applyBorder="1" applyAlignment="1"/>
    <xf numFmtId="0" fontId="89" fillId="17" borderId="39" xfId="48" applyFont="1" applyFill="1" applyBorder="1" applyAlignment="1"/>
    <xf numFmtId="0" fontId="89" fillId="0" borderId="42" xfId="48" applyFont="1" applyBorder="1" applyAlignment="1"/>
    <xf numFmtId="0" fontId="17" fillId="17" borderId="38" xfId="48" applyFill="1" applyBorder="1">
      <alignment vertical="center"/>
    </xf>
    <xf numFmtId="0" fontId="17" fillId="0" borderId="39" xfId="48" applyBorder="1">
      <alignment vertical="center"/>
    </xf>
    <xf numFmtId="0" fontId="89" fillId="0" borderId="33" xfId="48" applyFont="1" applyBorder="1" applyAlignment="1"/>
    <xf numFmtId="0" fontId="17" fillId="0" borderId="42" xfId="48" applyBorder="1">
      <alignment vertical="center"/>
    </xf>
    <xf numFmtId="0" fontId="81" fillId="0" borderId="0" xfId="48" applyFont="1">
      <alignment vertical="center"/>
    </xf>
    <xf numFmtId="0" fontId="92" fillId="0" borderId="5" xfId="48" applyFont="1" applyBorder="1">
      <alignment vertical="center"/>
    </xf>
    <xf numFmtId="0" fontId="93" fillId="0" borderId="0" xfId="48" applyFont="1" applyAlignment="1">
      <alignment horizontal="left" vertical="center" readingOrder="1"/>
    </xf>
    <xf numFmtId="0" fontId="89" fillId="0" borderId="43" xfId="48" applyFont="1" applyBorder="1" applyAlignment="1"/>
    <xf numFmtId="0" fontId="90" fillId="0" borderId="27" xfId="48" applyFont="1" applyBorder="1">
      <alignment vertical="center"/>
    </xf>
    <xf numFmtId="0" fontId="73" fillId="0" borderId="5" xfId="48" applyFont="1" applyBorder="1">
      <alignment vertical="center"/>
    </xf>
    <xf numFmtId="0" fontId="73" fillId="0" borderId="33" xfId="48" applyFont="1" applyBorder="1">
      <alignment vertical="center"/>
    </xf>
    <xf numFmtId="0" fontId="17" fillId="0" borderId="44" xfId="48" applyBorder="1">
      <alignment vertical="center"/>
    </xf>
    <xf numFmtId="49" fontId="85" fillId="18" borderId="45" xfId="48" applyNumberFormat="1" applyFont="1" applyFill="1" applyBorder="1" applyAlignment="1">
      <alignment horizontal="center"/>
    </xf>
    <xf numFmtId="49" fontId="85" fillId="0" borderId="36" xfId="48" applyNumberFormat="1" applyFont="1" applyBorder="1" applyAlignment="1">
      <alignment horizontal="center"/>
    </xf>
    <xf numFmtId="0" fontId="89" fillId="17" borderId="46" xfId="48" applyFont="1" applyFill="1" applyBorder="1" applyAlignment="1"/>
    <xf numFmtId="0" fontId="89" fillId="0" borderId="47" xfId="48" applyFont="1" applyBorder="1" applyAlignment="1"/>
    <xf numFmtId="0" fontId="89" fillId="0" borderId="48" xfId="48" applyFont="1" applyBorder="1" applyAlignment="1"/>
    <xf numFmtId="0" fontId="89" fillId="0" borderId="49" xfId="48" applyFont="1" applyBorder="1" applyAlignment="1"/>
    <xf numFmtId="0" fontId="89" fillId="0" borderId="46" xfId="48" applyFont="1" applyBorder="1" applyAlignment="1"/>
    <xf numFmtId="0" fontId="89" fillId="17" borderId="47" xfId="48" applyFont="1" applyFill="1" applyBorder="1" applyAlignment="1"/>
    <xf numFmtId="0" fontId="89" fillId="0" borderId="50" xfId="48" applyFont="1" applyBorder="1" applyAlignment="1"/>
    <xf numFmtId="0" fontId="17" fillId="17" borderId="46" xfId="48" applyFill="1" applyBorder="1">
      <alignment vertical="center"/>
    </xf>
    <xf numFmtId="0" fontId="17" fillId="0" borderId="47" xfId="48" applyBorder="1">
      <alignment vertical="center"/>
    </xf>
    <xf numFmtId="0" fontId="89" fillId="0" borderId="36" xfId="48" applyFont="1" applyBorder="1" applyAlignment="1"/>
    <xf numFmtId="0" fontId="17" fillId="0" borderId="50" xfId="48" applyBorder="1">
      <alignment vertical="center"/>
    </xf>
    <xf numFmtId="0" fontId="73" fillId="0" borderId="36" xfId="48" applyFont="1" applyBorder="1">
      <alignment vertical="center"/>
    </xf>
    <xf numFmtId="49" fontId="85" fillId="18" borderId="51" xfId="48" applyNumberFormat="1" applyFont="1" applyFill="1" applyBorder="1" applyAlignment="1">
      <alignment horizontal="center"/>
    </xf>
    <xf numFmtId="0" fontId="73" fillId="0" borderId="0" xfId="48" applyFont="1">
      <alignment vertical="center"/>
    </xf>
    <xf numFmtId="49" fontId="80" fillId="18" borderId="51" xfId="48" applyNumberFormat="1" applyFont="1" applyFill="1" applyBorder="1" applyAlignment="1">
      <alignment horizontal="center"/>
    </xf>
    <xf numFmtId="0" fontId="17" fillId="0" borderId="22" xfId="48" applyBorder="1">
      <alignment vertical="center"/>
    </xf>
    <xf numFmtId="0" fontId="17" fillId="0" borderId="23" xfId="48" applyBorder="1">
      <alignment vertical="center"/>
    </xf>
    <xf numFmtId="0" fontId="17" fillId="0" borderId="24" xfId="48" applyBorder="1">
      <alignment vertical="center"/>
    </xf>
    <xf numFmtId="0" fontId="17" fillId="0" borderId="52" xfId="48" applyBorder="1">
      <alignment vertical="center"/>
    </xf>
    <xf numFmtId="49" fontId="85" fillId="0" borderId="22" xfId="48" applyNumberFormat="1" applyFont="1" applyBorder="1" applyAlignment="1">
      <alignment horizontal="center"/>
    </xf>
    <xf numFmtId="0" fontId="89" fillId="17" borderId="53" xfId="48" applyFont="1" applyFill="1" applyBorder="1" applyAlignment="1"/>
    <xf numFmtId="0" fontId="89" fillId="0" borderId="54" xfId="48" applyFont="1" applyBorder="1" applyAlignment="1"/>
    <xf numFmtId="0" fontId="89" fillId="0" borderId="55" xfId="48" applyFont="1" applyBorder="1" applyAlignment="1"/>
    <xf numFmtId="0" fontId="89" fillId="0" borderId="56" xfId="48" applyFont="1" applyBorder="1" applyAlignment="1"/>
    <xf numFmtId="0" fontId="89" fillId="0" borderId="53" xfId="48" applyFont="1" applyBorder="1" applyAlignment="1"/>
    <xf numFmtId="0" fontId="89" fillId="17" borderId="54" xfId="48" applyFont="1" applyFill="1" applyBorder="1" applyAlignment="1"/>
    <xf numFmtId="0" fontId="89" fillId="0" borderId="57" xfId="48" applyFont="1" applyBorder="1" applyAlignment="1"/>
    <xf numFmtId="0" fontId="17" fillId="17" borderId="53" xfId="48" applyFill="1" applyBorder="1">
      <alignment vertical="center"/>
    </xf>
    <xf numFmtId="0" fontId="17" fillId="0" borderId="54" xfId="48" applyBorder="1">
      <alignment vertical="center"/>
    </xf>
    <xf numFmtId="0" fontId="89" fillId="0" borderId="22" xfId="48" applyFont="1" applyBorder="1" applyAlignment="1"/>
    <xf numFmtId="0" fontId="17" fillId="0" borderId="57" xfId="48" applyBorder="1">
      <alignment vertical="center"/>
    </xf>
    <xf numFmtId="0" fontId="17" fillId="17" borderId="22" xfId="48" applyFill="1" applyBorder="1">
      <alignment vertical="center"/>
    </xf>
    <xf numFmtId="0" fontId="73" fillId="0" borderId="22" xfId="48" applyFont="1" applyBorder="1">
      <alignment vertical="center"/>
    </xf>
    <xf numFmtId="0" fontId="17" fillId="17" borderId="24" xfId="48" applyFill="1" applyBorder="1">
      <alignment vertical="center"/>
    </xf>
    <xf numFmtId="49" fontId="85" fillId="18" borderId="58" xfId="48" applyNumberFormat="1" applyFont="1" applyFill="1" applyBorder="1" applyAlignment="1">
      <alignment horizontal="center"/>
    </xf>
    <xf numFmtId="49" fontId="85" fillId="18" borderId="25" xfId="48" applyNumberFormat="1" applyFont="1" applyFill="1" applyBorder="1" applyAlignment="1">
      <alignment horizontal="center"/>
    </xf>
    <xf numFmtId="0" fontId="17" fillId="0" borderId="21" xfId="48" applyBorder="1">
      <alignment vertical="center"/>
    </xf>
    <xf numFmtId="0" fontId="17" fillId="0" borderId="11" xfId="48" applyBorder="1">
      <alignment vertical="center"/>
    </xf>
    <xf numFmtId="0" fontId="17" fillId="0" borderId="12" xfId="48" applyBorder="1">
      <alignment vertical="center"/>
    </xf>
    <xf numFmtId="0" fontId="17" fillId="17" borderId="12" xfId="48" applyFill="1" applyBorder="1">
      <alignment vertical="center"/>
    </xf>
    <xf numFmtId="49" fontId="85" fillId="0" borderId="21" xfId="48" applyNumberFormat="1" applyFont="1" applyBorder="1" applyAlignment="1">
      <alignment horizontal="center"/>
    </xf>
    <xf numFmtId="0" fontId="89" fillId="17" borderId="59" xfId="48" applyFont="1" applyFill="1" applyBorder="1" applyAlignment="1"/>
    <xf numFmtId="0" fontId="89" fillId="0" borderId="60" xfId="48" applyFont="1" applyBorder="1" applyAlignment="1"/>
    <xf numFmtId="0" fontId="89" fillId="0" borderId="61" xfId="48" applyFont="1" applyBorder="1" applyAlignment="1"/>
    <xf numFmtId="0" fontId="89" fillId="0" borderId="62" xfId="48" applyFont="1" applyBorder="1" applyAlignment="1"/>
    <xf numFmtId="0" fontId="89" fillId="0" borderId="59" xfId="48" applyFont="1" applyBorder="1" applyAlignment="1"/>
    <xf numFmtId="0" fontId="89" fillId="17" borderId="60" xfId="48" applyFont="1" applyFill="1" applyBorder="1" applyAlignment="1"/>
    <xf numFmtId="0" fontId="89" fillId="0" borderId="63" xfId="48" applyFont="1" applyBorder="1" applyAlignment="1"/>
    <xf numFmtId="0" fontId="17" fillId="17" borderId="59" xfId="48" applyFill="1" applyBorder="1">
      <alignment vertical="center"/>
    </xf>
    <xf numFmtId="0" fontId="17" fillId="0" borderId="60" xfId="48" applyBorder="1">
      <alignment vertical="center"/>
    </xf>
    <xf numFmtId="0" fontId="89" fillId="0" borderId="21" xfId="48" applyFont="1" applyBorder="1" applyAlignment="1"/>
    <xf numFmtId="0" fontId="17" fillId="0" borderId="63" xfId="48" applyBorder="1">
      <alignment vertical="center"/>
    </xf>
    <xf numFmtId="0" fontId="17" fillId="17" borderId="21" xfId="48" applyFill="1" applyBorder="1">
      <alignment vertical="center"/>
    </xf>
    <xf numFmtId="0" fontId="73" fillId="0" borderId="21" xfId="48" applyFont="1" applyBorder="1">
      <alignment vertical="center"/>
    </xf>
    <xf numFmtId="49" fontId="85" fillId="7" borderId="25" xfId="48" applyNumberFormat="1" applyFont="1" applyFill="1" applyBorder="1" applyAlignment="1">
      <alignment horizontal="center"/>
    </xf>
    <xf numFmtId="49" fontId="85" fillId="7" borderId="32" xfId="48" applyNumberFormat="1" applyFont="1" applyFill="1" applyBorder="1" applyAlignment="1">
      <alignment horizontal="center"/>
    </xf>
    <xf numFmtId="0" fontId="93" fillId="0" borderId="36" xfId="48" applyFont="1" applyBorder="1" applyAlignment="1">
      <alignment horizontal="left" vertical="center" readingOrder="1"/>
    </xf>
    <xf numFmtId="0" fontId="95" fillId="0" borderId="35" xfId="48" applyFont="1" applyBorder="1">
      <alignment vertical="center"/>
    </xf>
    <xf numFmtId="49" fontId="85" fillId="7" borderId="25" xfId="48" applyNumberFormat="1" applyFont="1" applyFill="1" applyBorder="1" applyAlignment="1">
      <alignment horizontal="left" wrapText="1"/>
    </xf>
    <xf numFmtId="49" fontId="85" fillId="7" borderId="25" xfId="48" applyNumberFormat="1" applyFont="1" applyFill="1" applyBorder="1" applyAlignment="1">
      <alignment horizontal="center" wrapText="1"/>
    </xf>
    <xf numFmtId="49" fontId="85" fillId="7" borderId="32" xfId="48" applyNumberFormat="1" applyFont="1" applyFill="1" applyBorder="1" applyAlignment="1">
      <alignment horizontal="center" wrapText="1"/>
    </xf>
    <xf numFmtId="49" fontId="85" fillId="7" borderId="25" xfId="48" applyNumberFormat="1" applyFont="1" applyFill="1" applyBorder="1" applyAlignment="1">
      <alignment horizontal="center" vertical="center" wrapText="1"/>
    </xf>
    <xf numFmtId="49" fontId="85" fillId="7" borderId="4" xfId="48" applyNumberFormat="1" applyFont="1" applyFill="1" applyBorder="1" applyAlignment="1">
      <alignment horizontal="center"/>
    </xf>
    <xf numFmtId="49" fontId="85" fillId="7" borderId="64" xfId="48" applyNumberFormat="1" applyFont="1" applyFill="1" applyBorder="1" applyAlignment="1">
      <alignment horizontal="center"/>
    </xf>
    <xf numFmtId="49" fontId="85" fillId="6" borderId="4" xfId="48" applyNumberFormat="1" applyFont="1" applyFill="1" applyBorder="1" applyAlignment="1">
      <alignment horizontal="center"/>
    </xf>
    <xf numFmtId="0" fontId="17" fillId="0" borderId="0" xfId="48" applyAlignment="1"/>
    <xf numFmtId="0" fontId="71" fillId="0" borderId="25" xfId="48" applyFont="1" applyBorder="1">
      <alignment vertical="center"/>
    </xf>
    <xf numFmtId="49" fontId="85" fillId="6" borderId="25" xfId="48" applyNumberFormat="1" applyFont="1" applyFill="1" applyBorder="1" applyAlignment="1">
      <alignment horizontal="center"/>
    </xf>
    <xf numFmtId="0" fontId="71" fillId="0" borderId="0" xfId="48" applyFont="1">
      <alignment vertical="center"/>
    </xf>
    <xf numFmtId="49" fontId="85" fillId="6" borderId="58" xfId="48" applyNumberFormat="1" applyFont="1" applyFill="1" applyBorder="1" applyAlignment="1">
      <alignment horizontal="center"/>
    </xf>
    <xf numFmtId="0" fontId="95" fillId="0" borderId="5" xfId="48" applyFont="1" applyBorder="1">
      <alignment vertical="center"/>
    </xf>
    <xf numFmtId="0" fontId="71" fillId="0" borderId="5" xfId="48" applyFont="1" applyBorder="1">
      <alignment vertical="center"/>
    </xf>
    <xf numFmtId="49" fontId="85" fillId="6" borderId="64" xfId="48" applyNumberFormat="1" applyFont="1" applyFill="1" applyBorder="1" applyAlignment="1">
      <alignment horizontal="center"/>
    </xf>
    <xf numFmtId="0" fontId="17" fillId="0" borderId="65" xfId="48" applyBorder="1">
      <alignment vertical="center"/>
    </xf>
    <xf numFmtId="49" fontId="85" fillId="6" borderId="45" xfId="48" applyNumberFormat="1" applyFont="1" applyFill="1" applyBorder="1" applyAlignment="1">
      <alignment horizontal="center"/>
    </xf>
    <xf numFmtId="0" fontId="0" fillId="0" borderId="8" xfId="0" applyBorder="1">
      <alignment vertical="center"/>
    </xf>
    <xf numFmtId="0" fontId="0" fillId="0" borderId="1" xfId="0" applyFont="1" applyBorder="1" applyAlignment="1">
      <alignment horizontal="center" vertical="center"/>
    </xf>
    <xf numFmtId="49" fontId="85" fillId="4" borderId="25" xfId="48" applyNumberFormat="1" applyFont="1" applyFill="1" applyBorder="1" applyAlignment="1">
      <alignment horizontal="center"/>
    </xf>
    <xf numFmtId="49" fontId="85" fillId="4" borderId="32" xfId="48" applyNumberFormat="1" applyFont="1" applyFill="1" applyBorder="1" applyAlignment="1">
      <alignment horizontal="center"/>
    </xf>
    <xf numFmtId="49" fontId="85" fillId="4" borderId="25" xfId="48" applyNumberFormat="1" applyFont="1" applyFill="1" applyBorder="1" applyAlignment="1">
      <alignment horizontal="left" wrapText="1"/>
    </xf>
    <xf numFmtId="49" fontId="85" fillId="4" borderId="25" xfId="48" applyNumberFormat="1" applyFont="1" applyFill="1" applyBorder="1" applyAlignment="1">
      <alignment horizontal="center" wrapText="1"/>
    </xf>
    <xf numFmtId="49" fontId="85" fillId="4" borderId="32" xfId="48" applyNumberFormat="1" applyFont="1" applyFill="1" applyBorder="1" applyAlignment="1">
      <alignment horizontal="center" wrapText="1"/>
    </xf>
    <xf numFmtId="0" fontId="0" fillId="11" borderId="1" xfId="0" applyFont="1" applyFill="1" applyBorder="1" applyAlignment="1" applyProtection="1">
      <alignment horizontal="center" vertical="center"/>
      <protection locked="0"/>
    </xf>
    <xf numFmtId="0" fontId="55" fillId="0" borderId="0" xfId="1" applyFont="1" applyFill="1" applyAlignment="1">
      <alignment horizontal="left" vertical="center"/>
    </xf>
    <xf numFmtId="0" fontId="6" fillId="0" borderId="0" xfId="61">
      <alignment vertical="center"/>
    </xf>
    <xf numFmtId="0" fontId="6" fillId="0" borderId="1" xfId="61" applyBorder="1" applyAlignment="1">
      <alignment horizontal="center" vertical="center"/>
    </xf>
    <xf numFmtId="0" fontId="6" fillId="0" borderId="0" xfId="61" applyAlignment="1">
      <alignment horizontal="center" vertical="center"/>
    </xf>
    <xf numFmtId="0" fontId="6" fillId="2" borderId="0" xfId="61" applyFill="1">
      <alignment vertical="center"/>
    </xf>
    <xf numFmtId="0" fontId="6" fillId="0" borderId="0" xfId="61" applyAlignment="1">
      <alignment horizontal="left" vertical="center"/>
    </xf>
    <xf numFmtId="0" fontId="6" fillId="15" borderId="0" xfId="61" applyFill="1">
      <alignment vertical="center"/>
    </xf>
    <xf numFmtId="0" fontId="6" fillId="15" borderId="0" xfId="61" applyFill="1" applyAlignment="1">
      <alignment horizontal="center" vertical="center"/>
    </xf>
    <xf numFmtId="0" fontId="6" fillId="14" borderId="0" xfId="61" applyFill="1">
      <alignment vertical="center"/>
    </xf>
    <xf numFmtId="56" fontId="6" fillId="0" borderId="0" xfId="61" applyNumberFormat="1" applyAlignment="1">
      <alignment horizontal="center" vertical="center"/>
    </xf>
    <xf numFmtId="0" fontId="5" fillId="0" borderId="0" xfId="61" applyFont="1">
      <alignment vertical="center"/>
    </xf>
    <xf numFmtId="0" fontId="4" fillId="0" borderId="0" xfId="62">
      <alignment vertical="center"/>
    </xf>
    <xf numFmtId="0" fontId="4" fillId="0" borderId="1" xfId="62" applyBorder="1" applyAlignment="1">
      <alignment horizontal="left" vertical="center"/>
    </xf>
    <xf numFmtId="0" fontId="4" fillId="0" borderId="1" xfId="62" applyBorder="1" applyAlignment="1">
      <alignment horizontal="center" vertical="center"/>
    </xf>
    <xf numFmtId="0" fontId="4" fillId="0" borderId="0" xfId="62" applyAlignment="1">
      <alignment horizontal="left" vertical="center"/>
    </xf>
    <xf numFmtId="0" fontId="4" fillId="0" borderId="0" xfId="62" applyAlignment="1">
      <alignment horizontal="center" vertical="center"/>
    </xf>
    <xf numFmtId="56" fontId="4" fillId="0" borderId="0" xfId="62" applyNumberFormat="1" applyAlignment="1">
      <alignment horizontal="center" vertical="center"/>
    </xf>
    <xf numFmtId="0" fontId="4" fillId="2" borderId="0" xfId="62" applyFill="1">
      <alignment vertical="center"/>
    </xf>
    <xf numFmtId="0" fontId="4" fillId="15" borderId="0" xfId="62" applyFill="1">
      <alignment vertical="center"/>
    </xf>
    <xf numFmtId="0" fontId="4" fillId="15" borderId="0" xfId="62" applyFill="1" applyAlignment="1">
      <alignment horizontal="left" vertical="center"/>
    </xf>
    <xf numFmtId="0" fontId="4" fillId="15" borderId="0" xfId="62" applyFill="1" applyAlignment="1">
      <alignment horizontal="center" vertical="center"/>
    </xf>
    <xf numFmtId="56" fontId="4" fillId="15" borderId="0" xfId="62" applyNumberFormat="1" applyFill="1" applyAlignment="1">
      <alignment horizontal="center" vertical="center"/>
    </xf>
    <xf numFmtId="0" fontId="4" fillId="14" borderId="0" xfId="62" applyFill="1">
      <alignment vertical="center"/>
    </xf>
    <xf numFmtId="0" fontId="4" fillId="14" borderId="0" xfId="62" applyFill="1" applyAlignment="1">
      <alignment horizontal="left" vertical="center"/>
    </xf>
    <xf numFmtId="0" fontId="4" fillId="14" borderId="0" xfId="62" applyFill="1" applyAlignment="1">
      <alignment horizontal="center" vertical="center"/>
    </xf>
    <xf numFmtId="56" fontId="4" fillId="14" borderId="0" xfId="62" applyNumberFormat="1" applyFill="1" applyAlignment="1">
      <alignment horizontal="center" vertical="center"/>
    </xf>
    <xf numFmtId="0" fontId="96" fillId="0" borderId="0" xfId="62" applyFont="1">
      <alignment vertical="center"/>
    </xf>
    <xf numFmtId="0" fontId="96" fillId="0" borderId="0" xfId="62" applyFont="1" applyAlignment="1">
      <alignment horizontal="left" vertical="center"/>
    </xf>
    <xf numFmtId="0" fontId="97" fillId="0" borderId="0" xfId="62" applyFont="1" applyAlignment="1">
      <alignment horizontal="center" vertical="center"/>
    </xf>
    <xf numFmtId="56" fontId="97" fillId="0" borderId="0" xfId="62" applyNumberFormat="1" applyFont="1" applyAlignment="1">
      <alignment horizontal="center" vertical="center"/>
    </xf>
    <xf numFmtId="0" fontId="97" fillId="2" borderId="0" xfId="62" applyFont="1" applyFill="1">
      <alignment vertical="center"/>
    </xf>
    <xf numFmtId="0" fontId="0" fillId="11" borderId="1" xfId="0" applyFont="1" applyFill="1" applyBorder="1">
      <alignment vertical="center"/>
    </xf>
    <xf numFmtId="0" fontId="0" fillId="11" borderId="1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15" borderId="1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0" xfId="63">
      <alignment vertical="center"/>
    </xf>
    <xf numFmtId="0" fontId="3" fillId="0" borderId="1" xfId="63" applyBorder="1" applyAlignment="1">
      <alignment horizontal="center" vertical="center"/>
    </xf>
    <xf numFmtId="0" fontId="3" fillId="0" borderId="0" xfId="63" applyAlignment="1">
      <alignment horizontal="center" vertical="center"/>
    </xf>
    <xf numFmtId="0" fontId="3" fillId="2" borderId="0" xfId="63" applyFill="1">
      <alignment vertical="center"/>
    </xf>
    <xf numFmtId="0" fontId="3" fillId="15" borderId="0" xfId="63" applyFill="1">
      <alignment vertical="center"/>
    </xf>
    <xf numFmtId="0" fontId="3" fillId="15" borderId="0" xfId="63" applyFill="1" applyAlignment="1">
      <alignment horizontal="center" vertical="center"/>
    </xf>
    <xf numFmtId="0" fontId="3" fillId="0" borderId="0" xfId="63" applyFill="1">
      <alignment vertical="center"/>
    </xf>
    <xf numFmtId="56" fontId="3" fillId="0" borderId="0" xfId="63" applyNumberFormat="1" applyAlignment="1">
      <alignment horizontal="center" vertical="center"/>
    </xf>
    <xf numFmtId="0" fontId="82" fillId="0" borderId="8" xfId="48" applyFont="1" applyBorder="1" applyAlignment="1">
      <alignment horizontal="centerContinuous" vertical="center"/>
    </xf>
    <xf numFmtId="0" fontId="82" fillId="0" borderId="9" xfId="48" applyFont="1" applyBorder="1" applyAlignment="1">
      <alignment horizontal="centerContinuous" vertical="center"/>
    </xf>
    <xf numFmtId="181" fontId="87" fillId="5" borderId="23" xfId="48" applyNumberFormat="1" applyFont="1" applyFill="1" applyBorder="1">
      <alignment vertical="center"/>
    </xf>
    <xf numFmtId="0" fontId="87" fillId="5" borderId="22" xfId="49" applyFont="1" applyFill="1" applyBorder="1">
      <alignment vertical="center"/>
    </xf>
    <xf numFmtId="0" fontId="87" fillId="5" borderId="22" xfId="48" applyFont="1" applyFill="1" applyBorder="1">
      <alignment vertical="center"/>
    </xf>
    <xf numFmtId="0" fontId="87" fillId="5" borderId="23" xfId="48" applyFont="1" applyFill="1" applyBorder="1">
      <alignment vertical="center"/>
    </xf>
    <xf numFmtId="0" fontId="87" fillId="5" borderId="24" xfId="48" applyFont="1" applyFill="1" applyBorder="1">
      <alignment vertical="center"/>
    </xf>
    <xf numFmtId="49" fontId="85" fillId="20" borderId="25" xfId="48" applyNumberFormat="1" applyFont="1" applyFill="1" applyBorder="1" applyAlignment="1">
      <alignment horizontal="center"/>
    </xf>
    <xf numFmtId="49" fontId="85" fillId="19" borderId="51" xfId="48" applyNumberFormat="1" applyFont="1" applyFill="1" applyBorder="1" applyAlignment="1">
      <alignment horizontal="center"/>
    </xf>
    <xf numFmtId="49" fontId="85" fillId="19" borderId="25" xfId="48" applyNumberFormat="1" applyFont="1" applyFill="1" applyBorder="1" applyAlignment="1">
      <alignment horizontal="center"/>
    </xf>
    <xf numFmtId="49" fontId="98" fillId="18" borderId="25" xfId="48" applyNumberFormat="1" applyFont="1" applyFill="1" applyBorder="1" applyAlignment="1">
      <alignment horizontal="left"/>
    </xf>
    <xf numFmtId="49" fontId="94" fillId="18" borderId="51" xfId="48" applyNumberFormat="1" applyFont="1" applyFill="1" applyBorder="1" applyAlignment="1">
      <alignment horizontal="left"/>
    </xf>
    <xf numFmtId="49" fontId="85" fillId="21" borderId="4" xfId="48" applyNumberFormat="1" applyFont="1" applyFill="1" applyBorder="1" applyAlignment="1">
      <alignment horizontal="center"/>
    </xf>
    <xf numFmtId="49" fontId="99" fillId="6" borderId="4" xfId="48" applyNumberFormat="1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center" shrinkToFit="1"/>
    </xf>
    <xf numFmtId="0" fontId="2" fillId="0" borderId="0" xfId="64">
      <alignment vertical="center"/>
    </xf>
    <xf numFmtId="0" fontId="2" fillId="0" borderId="1" xfId="64" applyBorder="1" applyAlignment="1">
      <alignment horizontal="center" vertical="center"/>
    </xf>
    <xf numFmtId="0" fontId="2" fillId="0" borderId="0" xfId="64" applyAlignment="1">
      <alignment horizontal="center" vertical="center"/>
    </xf>
    <xf numFmtId="56" fontId="2" fillId="0" borderId="0" xfId="64" applyNumberFormat="1" applyAlignment="1">
      <alignment horizontal="center" vertical="center"/>
    </xf>
    <xf numFmtId="0" fontId="2" fillId="2" borderId="0" xfId="64" applyFill="1">
      <alignment vertical="center"/>
    </xf>
    <xf numFmtId="0" fontId="2" fillId="22" borderId="0" xfId="64" applyFill="1">
      <alignment vertical="center"/>
    </xf>
    <xf numFmtId="0" fontId="2" fillId="22" borderId="0" xfId="64" applyFill="1" applyAlignment="1">
      <alignment horizontal="center" vertical="center"/>
    </xf>
    <xf numFmtId="56" fontId="2" fillId="22" borderId="0" xfId="64" applyNumberFormat="1" applyFill="1" applyAlignment="1">
      <alignment horizontal="center" vertical="center"/>
    </xf>
    <xf numFmtId="0" fontId="2" fillId="15" borderId="0" xfId="64" applyFill="1">
      <alignment vertical="center"/>
    </xf>
    <xf numFmtId="0" fontId="2" fillId="15" borderId="0" xfId="64" applyFill="1" applyAlignment="1">
      <alignment horizontal="center" vertical="center"/>
    </xf>
    <xf numFmtId="0" fontId="0" fillId="23" borderId="0" xfId="0" applyFont="1" applyFill="1">
      <alignment vertical="center"/>
    </xf>
    <xf numFmtId="0" fontId="0" fillId="24" borderId="0" xfId="0" applyFont="1" applyFill="1">
      <alignment vertical="center"/>
    </xf>
    <xf numFmtId="0" fontId="71" fillId="9" borderId="13" xfId="2" applyFont="1" applyFill="1" applyBorder="1" applyAlignment="1">
      <alignment horizontal="center" vertical="center" wrapText="1"/>
    </xf>
    <xf numFmtId="0" fontId="71" fillId="9" borderId="18" xfId="2" applyFont="1" applyFill="1" applyBorder="1" applyAlignment="1">
      <alignment horizontal="center" vertical="center" wrapText="1"/>
    </xf>
    <xf numFmtId="0" fontId="55" fillId="9" borderId="14" xfId="0" applyFont="1" applyFill="1" applyBorder="1" applyAlignment="1">
      <alignment horizontal="center" vertical="center" shrinkToFit="1"/>
    </xf>
    <xf numFmtId="0" fontId="55" fillId="9" borderId="15" xfId="0" applyFont="1" applyFill="1" applyBorder="1" applyAlignment="1">
      <alignment horizontal="center" vertical="center" shrinkToFit="1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68" fillId="0" borderId="1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01" fillId="0" borderId="1" xfId="65" applyFont="1" applyBorder="1" applyAlignment="1">
      <alignment horizontal="center"/>
    </xf>
    <xf numFmtId="0" fontId="101" fillId="0" borderId="1" xfId="65" applyFont="1" applyBorder="1" applyAlignment="1">
      <alignment horizontal="left"/>
    </xf>
    <xf numFmtId="0" fontId="101" fillId="0" borderId="1" xfId="65" applyFont="1" applyBorder="1"/>
    <xf numFmtId="185" fontId="101" fillId="0" borderId="1" xfId="65" applyNumberFormat="1" applyFont="1" applyBorder="1"/>
    <xf numFmtId="0" fontId="101" fillId="0" borderId="0" xfId="65" applyFont="1"/>
    <xf numFmtId="0" fontId="101" fillId="0" borderId="1" xfId="65" applyFont="1" applyBorder="1" applyAlignment="1">
      <alignment horizontal="center" vertical="center"/>
    </xf>
    <xf numFmtId="0" fontId="101" fillId="0" borderId="1" xfId="65" applyFont="1" applyBorder="1" applyAlignment="1">
      <alignment horizontal="left" vertical="center"/>
    </xf>
    <xf numFmtId="0" fontId="104" fillId="0" borderId="1" xfId="3" applyFont="1" applyBorder="1" applyAlignment="1" applyProtection="1">
      <alignment horizontal="left" vertical="center" shrinkToFit="1"/>
      <protection locked="0"/>
    </xf>
    <xf numFmtId="0" fontId="104" fillId="0" borderId="1" xfId="3" applyFont="1" applyBorder="1" applyAlignment="1" applyProtection="1">
      <alignment horizontal="center" vertical="center" shrinkToFit="1"/>
      <protection locked="0"/>
    </xf>
    <xf numFmtId="0" fontId="101" fillId="0" borderId="1" xfId="3" applyFont="1" applyBorder="1" applyAlignment="1" applyProtection="1">
      <alignment horizontal="left" vertical="center" shrinkToFit="1"/>
      <protection locked="0"/>
    </xf>
    <xf numFmtId="0" fontId="101" fillId="0" borderId="1" xfId="3" applyFont="1" applyBorder="1" applyAlignment="1" applyProtection="1">
      <alignment horizontal="center" vertical="center" shrinkToFit="1"/>
      <protection locked="0"/>
    </xf>
    <xf numFmtId="185" fontId="104" fillId="0" borderId="1" xfId="65" applyNumberFormat="1" applyFont="1" applyBorder="1"/>
    <xf numFmtId="0" fontId="104" fillId="0" borderId="1" xfId="65" applyFont="1" applyBorder="1" applyAlignment="1">
      <alignment horizontal="left"/>
    </xf>
    <xf numFmtId="0" fontId="101" fillId="0" borderId="1" xfId="3" applyFont="1" applyBorder="1" applyAlignment="1">
      <alignment horizontal="left" vertical="center"/>
    </xf>
    <xf numFmtId="185" fontId="101" fillId="0" borderId="1" xfId="3" applyNumberFormat="1" applyFont="1" applyBorder="1">
      <alignment vertical="center"/>
    </xf>
    <xf numFmtId="0" fontId="101" fillId="0" borderId="1" xfId="3" applyFont="1" applyBorder="1" applyAlignment="1">
      <alignment horizontal="center" vertical="center"/>
    </xf>
    <xf numFmtId="0" fontId="101" fillId="0" borderId="1" xfId="65" applyFont="1" applyBorder="1" applyAlignment="1" applyProtection="1">
      <alignment horizontal="left" vertical="center"/>
      <protection locked="0"/>
    </xf>
    <xf numFmtId="0" fontId="101" fillId="0" borderId="1" xfId="65" applyFont="1" applyBorder="1" applyAlignment="1" applyProtection="1">
      <alignment horizontal="center" vertical="center"/>
      <protection locked="0"/>
    </xf>
    <xf numFmtId="0" fontId="105" fillId="0" borderId="0" xfId="65" applyFont="1"/>
    <xf numFmtId="0" fontId="101" fillId="0" borderId="1" xfId="65" applyFont="1" applyBorder="1" applyAlignment="1" applyProtection="1">
      <alignment vertical="center"/>
      <protection locked="0"/>
    </xf>
    <xf numFmtId="0" fontId="104" fillId="0" borderId="1" xfId="3" applyFont="1" applyBorder="1" applyAlignment="1" applyProtection="1">
      <alignment vertical="center" shrinkToFit="1"/>
      <protection locked="0"/>
    </xf>
    <xf numFmtId="0" fontId="101" fillId="25" borderId="1" xfId="65" applyFont="1" applyFill="1" applyBorder="1" applyAlignment="1" applyProtection="1">
      <alignment horizontal="center" vertical="center"/>
      <protection locked="0"/>
    </xf>
    <xf numFmtId="0" fontId="101" fillId="25" borderId="1" xfId="65" applyFont="1" applyFill="1" applyBorder="1" applyAlignment="1" applyProtection="1">
      <alignment horizontal="left" vertical="center"/>
      <protection locked="0"/>
    </xf>
    <xf numFmtId="185" fontId="101" fillId="25" borderId="1" xfId="65" applyNumberFormat="1" applyFont="1" applyFill="1" applyBorder="1"/>
    <xf numFmtId="0" fontId="104" fillId="25" borderId="1" xfId="3" applyFont="1" applyFill="1" applyBorder="1" applyAlignment="1" applyProtection="1">
      <alignment horizontal="center" vertical="center" shrinkToFit="1"/>
      <protection locked="0"/>
    </xf>
    <xf numFmtId="0" fontId="101" fillId="25" borderId="1" xfId="65" applyFont="1" applyFill="1" applyBorder="1" applyAlignment="1">
      <alignment horizontal="center"/>
    </xf>
    <xf numFmtId="0" fontId="101" fillId="25" borderId="1" xfId="65" applyFont="1" applyFill="1" applyBorder="1" applyAlignment="1">
      <alignment horizontal="left"/>
    </xf>
    <xf numFmtId="0" fontId="101" fillId="25" borderId="1" xfId="65" applyFont="1" applyFill="1" applyBorder="1"/>
    <xf numFmtId="0" fontId="101" fillId="0" borderId="1" xfId="65" applyFont="1" applyBorder="1" applyAlignment="1">
      <alignment vertical="center"/>
    </xf>
    <xf numFmtId="0" fontId="101" fillId="0" borderId="1" xfId="65" applyFont="1" applyBorder="1" applyAlignment="1">
      <alignment horizontal="center" vertical="center" shrinkToFit="1"/>
    </xf>
    <xf numFmtId="0" fontId="106" fillId="0" borderId="0" xfId="65" applyFont="1"/>
    <xf numFmtId="0" fontId="101" fillId="25" borderId="1" xfId="65" applyFont="1" applyFill="1" applyBorder="1" applyAlignment="1">
      <alignment horizontal="center" vertical="center"/>
    </xf>
    <xf numFmtId="0" fontId="101" fillId="25" borderId="1" xfId="65" applyFont="1" applyFill="1" applyBorder="1" applyAlignment="1">
      <alignment horizontal="left" vertical="center"/>
    </xf>
    <xf numFmtId="0" fontId="101" fillId="26" borderId="1" xfId="65" applyFont="1" applyFill="1" applyBorder="1" applyAlignment="1">
      <alignment horizontal="center"/>
    </xf>
    <xf numFmtId="0" fontId="101" fillId="26" borderId="1" xfId="65" applyFont="1" applyFill="1" applyBorder="1" applyAlignment="1">
      <alignment horizontal="left"/>
    </xf>
    <xf numFmtId="0" fontId="101" fillId="26" borderId="1" xfId="65" applyFont="1" applyFill="1" applyBorder="1"/>
    <xf numFmtId="185" fontId="101" fillId="26" borderId="1" xfId="65" applyNumberFormat="1" applyFont="1" applyFill="1" applyBorder="1"/>
    <xf numFmtId="0" fontId="104" fillId="25" borderId="1" xfId="3" applyFont="1" applyFill="1" applyBorder="1" applyAlignment="1" applyProtection="1">
      <alignment horizontal="left" vertical="center" shrinkToFit="1"/>
      <protection locked="0"/>
    </xf>
    <xf numFmtId="185" fontId="104" fillId="25" borderId="1" xfId="3" applyNumberFormat="1" applyFont="1" applyFill="1" applyBorder="1" applyAlignment="1" applyProtection="1">
      <alignment vertical="center" shrinkToFit="1"/>
      <protection locked="0"/>
    </xf>
    <xf numFmtId="0" fontId="101" fillId="26" borderId="1" xfId="65" applyFont="1" applyFill="1" applyBorder="1" applyAlignment="1">
      <alignment horizontal="center" vertical="center"/>
    </xf>
    <xf numFmtId="0" fontId="101" fillId="26" borderId="1" xfId="65" applyFont="1" applyFill="1" applyBorder="1" applyAlignment="1">
      <alignment horizontal="left" vertical="center"/>
    </xf>
    <xf numFmtId="0" fontId="101" fillId="26" borderId="1" xfId="65" applyFont="1" applyFill="1" applyBorder="1" applyAlignment="1" applyProtection="1">
      <alignment horizontal="center" vertical="center"/>
      <protection locked="0"/>
    </xf>
    <xf numFmtId="0" fontId="101" fillId="26" borderId="1" xfId="66" applyFont="1" applyFill="1" applyBorder="1">
      <alignment vertical="center"/>
    </xf>
    <xf numFmtId="0" fontId="101" fillId="26" borderId="1" xfId="65" applyFont="1" applyFill="1" applyBorder="1" applyAlignment="1" applyProtection="1">
      <alignment horizontal="left" vertical="center"/>
      <protection locked="0"/>
    </xf>
    <xf numFmtId="0" fontId="104" fillId="26" borderId="1" xfId="3" applyFont="1" applyFill="1" applyBorder="1" applyAlignment="1" applyProtection="1">
      <alignment horizontal="center" vertical="center" shrinkToFit="1"/>
      <protection locked="0"/>
    </xf>
    <xf numFmtId="0" fontId="101" fillId="25" borderId="1" xfId="65" applyFont="1" applyFill="1" applyBorder="1" applyAlignment="1" applyProtection="1">
      <alignment vertical="center"/>
      <protection locked="0"/>
    </xf>
    <xf numFmtId="0" fontId="101" fillId="0" borderId="0" xfId="65" applyFont="1" applyAlignment="1">
      <alignment horizontal="center"/>
    </xf>
    <xf numFmtId="0" fontId="101" fillId="0" borderId="0" xfId="65" applyFont="1" applyAlignment="1">
      <alignment horizontal="left"/>
    </xf>
    <xf numFmtId="185" fontId="101" fillId="0" borderId="0" xfId="65" applyNumberFormat="1" applyFont="1"/>
    <xf numFmtId="0" fontId="0" fillId="27" borderId="1" xfId="0" applyFont="1" applyFill="1" applyBorder="1" applyAlignment="1" applyProtection="1">
      <alignment horizontal="center" vertical="center"/>
      <protection locked="0"/>
    </xf>
  </cellXfs>
  <cellStyles count="67">
    <cellStyle name="ハイパーリンク" xfId="12" builtinId="8"/>
    <cellStyle name="標準" xfId="0" builtinId="0"/>
    <cellStyle name="標準 10" xfId="19" xr:uid="{00000000-0005-0000-0000-000002000000}"/>
    <cellStyle name="標準 11" xfId="20" xr:uid="{00000000-0005-0000-0000-000003000000}"/>
    <cellStyle name="標準 12" xfId="21" xr:uid="{00000000-0005-0000-0000-000004000000}"/>
    <cellStyle name="標準 13" xfId="22" xr:uid="{00000000-0005-0000-0000-000005000000}"/>
    <cellStyle name="標準 14" xfId="23" xr:uid="{00000000-0005-0000-0000-000006000000}"/>
    <cellStyle name="標準 15" xfId="24" xr:uid="{00000000-0005-0000-0000-000007000000}"/>
    <cellStyle name="標準 16" xfId="25" xr:uid="{00000000-0005-0000-0000-000008000000}"/>
    <cellStyle name="標準 17" xfId="26" xr:uid="{00000000-0005-0000-0000-000009000000}"/>
    <cellStyle name="標準 18" xfId="27" xr:uid="{00000000-0005-0000-0000-00000A000000}"/>
    <cellStyle name="標準 19" xfId="30" xr:uid="{00000000-0005-0000-0000-00000B000000}"/>
    <cellStyle name="標準 2" xfId="1" xr:uid="{00000000-0005-0000-0000-00000C000000}"/>
    <cellStyle name="標準 2 2" xfId="3" xr:uid="{00000000-0005-0000-0000-00000D000000}"/>
    <cellStyle name="標準 2 2 2" xfId="54" xr:uid="{00000000-0005-0000-0000-00000E000000}"/>
    <cellStyle name="標準 2 3" xfId="28" xr:uid="{00000000-0005-0000-0000-00000F000000}"/>
    <cellStyle name="標準 20" xfId="31" xr:uid="{00000000-0005-0000-0000-000010000000}"/>
    <cellStyle name="標準 21" xfId="32" xr:uid="{00000000-0005-0000-0000-000011000000}"/>
    <cellStyle name="標準 22" xfId="33" xr:uid="{00000000-0005-0000-0000-000012000000}"/>
    <cellStyle name="標準 23" xfId="35" xr:uid="{00000000-0005-0000-0000-000013000000}"/>
    <cellStyle name="標準 24" xfId="36" xr:uid="{00000000-0005-0000-0000-000014000000}"/>
    <cellStyle name="標準 25" xfId="37" xr:uid="{00000000-0005-0000-0000-000015000000}"/>
    <cellStyle name="標準 26" xfId="38" xr:uid="{00000000-0005-0000-0000-000016000000}"/>
    <cellStyle name="標準 27" xfId="39" xr:uid="{00000000-0005-0000-0000-000017000000}"/>
    <cellStyle name="標準 28" xfId="40" xr:uid="{00000000-0005-0000-0000-000018000000}"/>
    <cellStyle name="標準 29" xfId="42" xr:uid="{00000000-0005-0000-0000-000019000000}"/>
    <cellStyle name="標準 3" xfId="13" xr:uid="{00000000-0005-0000-0000-00001A000000}"/>
    <cellStyle name="標準 30" xfId="43" xr:uid="{00000000-0005-0000-0000-00001B000000}"/>
    <cellStyle name="標準 31" xfId="44" xr:uid="{00000000-0005-0000-0000-00001C000000}"/>
    <cellStyle name="標準 32" xfId="45" xr:uid="{00000000-0005-0000-0000-00001D000000}"/>
    <cellStyle name="標準 33" xfId="46" xr:uid="{00000000-0005-0000-0000-00001E000000}"/>
    <cellStyle name="標準 34" xfId="47" xr:uid="{00000000-0005-0000-0000-00001F000000}"/>
    <cellStyle name="標準 35" xfId="48" xr:uid="{00000000-0005-0000-0000-000020000000}"/>
    <cellStyle name="標準 36" xfId="50" xr:uid="{00000000-0005-0000-0000-000021000000}"/>
    <cellStyle name="標準 37" xfId="51" xr:uid="{00000000-0005-0000-0000-000022000000}"/>
    <cellStyle name="標準 38" xfId="52" xr:uid="{00000000-0005-0000-0000-000023000000}"/>
    <cellStyle name="標準 39" xfId="53" xr:uid="{00000000-0005-0000-0000-000024000000}"/>
    <cellStyle name="標準 4" xfId="14" xr:uid="{00000000-0005-0000-0000-000025000000}"/>
    <cellStyle name="標準 40" xfId="55" xr:uid="{00000000-0005-0000-0000-000026000000}"/>
    <cellStyle name="標準 41" xfId="56" xr:uid="{00000000-0005-0000-0000-000027000000}"/>
    <cellStyle name="標準 42" xfId="57" xr:uid="{00000000-0005-0000-0000-000028000000}"/>
    <cellStyle name="標準 43" xfId="58" xr:uid="{00000000-0005-0000-0000-000029000000}"/>
    <cellStyle name="標準 44" xfId="59" xr:uid="{00000000-0005-0000-0000-00002A000000}"/>
    <cellStyle name="標準 45" xfId="60" xr:uid="{00000000-0005-0000-0000-00002B000000}"/>
    <cellStyle name="標準 46" xfId="61" xr:uid="{00000000-0005-0000-0000-00002C000000}"/>
    <cellStyle name="標準 47" xfId="62" xr:uid="{00000000-0005-0000-0000-00002D000000}"/>
    <cellStyle name="標準 48" xfId="63" xr:uid="{00000000-0005-0000-0000-00002E000000}"/>
    <cellStyle name="標準 49" xfId="64" xr:uid="{00000000-0005-0000-0000-00002F000000}"/>
    <cellStyle name="標準 5" xfId="4" xr:uid="{00000000-0005-0000-0000-000030000000}"/>
    <cellStyle name="標準 5 2" xfId="66" xr:uid="{6937C6DB-1699-4FF3-A00C-EE8459F6F6AF}"/>
    <cellStyle name="標準 50" xfId="65" xr:uid="{D2932A7D-ED41-4EA8-84F2-567DBDEAF311}"/>
    <cellStyle name="標準 6" xfId="15" xr:uid="{00000000-0005-0000-0000-000031000000}"/>
    <cellStyle name="標準 7" xfId="16" xr:uid="{00000000-0005-0000-0000-000032000000}"/>
    <cellStyle name="標準 7 2 2 2" xfId="5" xr:uid="{00000000-0005-0000-0000-000033000000}"/>
    <cellStyle name="標準 7 2 2 2 2" xfId="6" xr:uid="{00000000-0005-0000-0000-000034000000}"/>
    <cellStyle name="標準 7 2 2 2 3" xfId="7" xr:uid="{00000000-0005-0000-0000-000035000000}"/>
    <cellStyle name="標準 7 2 2 2 3 2" xfId="8" xr:uid="{00000000-0005-0000-0000-000036000000}"/>
    <cellStyle name="標準 7 2 2 2 3 2 2" xfId="10" xr:uid="{00000000-0005-0000-0000-000037000000}"/>
    <cellStyle name="標準 7 2 2 2 3 3" xfId="9" xr:uid="{00000000-0005-0000-0000-000038000000}"/>
    <cellStyle name="標準 7 2 2 2 3 3 2" xfId="11" xr:uid="{00000000-0005-0000-0000-000039000000}"/>
    <cellStyle name="標準 7 2 3 2 3 2 2" xfId="29" xr:uid="{00000000-0005-0000-0000-00003A000000}"/>
    <cellStyle name="標準 7 2 3 2 3 2 2 2" xfId="34" xr:uid="{00000000-0005-0000-0000-00003B000000}"/>
    <cellStyle name="標準 7 2 3 2 3 2 2 3" xfId="41" xr:uid="{00000000-0005-0000-0000-00003C000000}"/>
    <cellStyle name="標準 7 2 3 2 3 2 2 4" xfId="49" xr:uid="{00000000-0005-0000-0000-00003D000000}"/>
    <cellStyle name="標準 8" xfId="17" xr:uid="{00000000-0005-0000-0000-00003E000000}"/>
    <cellStyle name="標準 9" xfId="18" xr:uid="{00000000-0005-0000-0000-00003F000000}"/>
    <cellStyle name="標準_仕様書ﾁｪｯｸﾘｽﾄ070822" xfId="2" xr:uid="{00000000-0005-0000-0000-000040000000}"/>
  </cellStyles>
  <dxfs count="9"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D9F3"/>
      <color rgb="FFFBE5FF"/>
      <color rgb="FFFFE1FF"/>
      <color rgb="FFFFFFCC"/>
      <color rgb="FF6699FF"/>
      <color rgb="FFCC99FF"/>
      <color rgb="FFFFCCFF"/>
      <color rgb="FF66FFFF"/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231912</xdr:colOff>
      <xdr:row>14</xdr:row>
      <xdr:rowOff>82061</xdr:rowOff>
    </xdr:from>
    <xdr:to>
      <xdr:col>27</xdr:col>
      <xdr:colOff>206154</xdr:colOff>
      <xdr:row>18</xdr:row>
      <xdr:rowOff>1757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540"/>
        <a:stretch/>
      </xdr:blipFill>
      <xdr:spPr>
        <a:xfrm>
          <a:off x="364434" y="3554131"/>
          <a:ext cx="11827566" cy="544221"/>
        </a:xfrm>
        <a:prstGeom prst="rect">
          <a:avLst/>
        </a:prstGeom>
      </xdr:spPr>
    </xdr:pic>
    <xdr:clientData/>
  </xdr:twoCellAnchor>
  <xdr:twoCellAnchor editAs="oneCell">
    <xdr:from>
      <xdr:col>2</xdr:col>
      <xdr:colOff>35604</xdr:colOff>
      <xdr:row>18</xdr:row>
      <xdr:rowOff>14191</xdr:rowOff>
    </xdr:from>
    <xdr:to>
      <xdr:col>26</xdr:col>
      <xdr:colOff>95354</xdr:colOff>
      <xdr:row>22</xdr:row>
      <xdr:rowOff>150233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5D32C9-C71E-CF17-DC3D-7E70C51C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466" y="4192053"/>
          <a:ext cx="11286112" cy="819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180</xdr:col>
      <xdr:colOff>235693</xdr:colOff>
      <xdr:row>36</xdr:row>
      <xdr:rowOff>48367</xdr:rowOff>
    </xdr:from>
    <xdr:ext cx="278946" cy="471054"/>
    <xdr:sp macro="" textlink="">
      <xdr:nvSpPr>
        <xdr:cNvPr id="2" name="AutoShape 332">
          <a:extLst>
            <a:ext uri="{FF2B5EF4-FFF2-40B4-BE49-F238E27FC236}">
              <a16:creationId xmlns:a16="http://schemas.microsoft.com/office/drawing/2014/main" id="{AF6A66CC-879A-40C1-86B9-08E022723161}"/>
            </a:ext>
          </a:extLst>
        </xdr:cNvPr>
        <xdr:cNvSpPr>
          <a:spLocks noChangeArrowheads="1"/>
        </xdr:cNvSpPr>
      </xdr:nvSpPr>
      <xdr:spPr bwMode="auto">
        <a:xfrm rot="5400000">
          <a:off x="18717199" y="9684661"/>
          <a:ext cx="471054" cy="278946"/>
        </a:xfrm>
        <a:prstGeom prst="triangle">
          <a:avLst>
            <a:gd name="adj" fmla="val 50000"/>
          </a:avLst>
        </a:prstGeom>
        <a:solidFill>
          <a:schemeClr val="bg1">
            <a:lumMod val="75000"/>
          </a:schemeClr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180</xdr:col>
      <xdr:colOff>9029</xdr:colOff>
      <xdr:row>35</xdr:row>
      <xdr:rowOff>200272</xdr:rowOff>
    </xdr:from>
    <xdr:to>
      <xdr:col>182</xdr:col>
      <xdr:colOff>75128</xdr:colOff>
      <xdr:row>38</xdr:row>
      <xdr:rowOff>160193</xdr:rowOff>
    </xdr:to>
    <xdr:sp macro="" textlink="">
      <xdr:nvSpPr>
        <xdr:cNvPr id="3" name="大かっこ 2">
          <a:extLst>
            <a:ext uri="{FF2B5EF4-FFF2-40B4-BE49-F238E27FC236}">
              <a16:creationId xmlns:a16="http://schemas.microsoft.com/office/drawing/2014/main" id="{7B813F50-8048-4654-9D7A-59E2253AC435}"/>
            </a:ext>
          </a:extLst>
        </xdr:cNvPr>
        <xdr:cNvSpPr/>
      </xdr:nvSpPr>
      <xdr:spPr>
        <a:xfrm>
          <a:off x="18586589" y="9473812"/>
          <a:ext cx="690939" cy="760021"/>
        </a:xfrm>
        <a:prstGeom prst="bracketPair">
          <a:avLst>
            <a:gd name="adj" fmla="val 8772"/>
          </a:avLst>
        </a:prstGeom>
        <a:ln w="285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178</xdr:col>
      <xdr:colOff>24039</xdr:colOff>
      <xdr:row>36</xdr:row>
      <xdr:rowOff>48367</xdr:rowOff>
    </xdr:from>
    <xdr:ext cx="278946" cy="471054"/>
    <xdr:sp macro="" textlink="">
      <xdr:nvSpPr>
        <xdr:cNvPr id="4" name="AutoShape 332">
          <a:extLst>
            <a:ext uri="{FF2B5EF4-FFF2-40B4-BE49-F238E27FC236}">
              <a16:creationId xmlns:a16="http://schemas.microsoft.com/office/drawing/2014/main" id="{7306CC92-F846-4507-BF0E-00ABD36D06A2}"/>
            </a:ext>
          </a:extLst>
        </xdr:cNvPr>
        <xdr:cNvSpPr>
          <a:spLocks noChangeArrowheads="1"/>
        </xdr:cNvSpPr>
      </xdr:nvSpPr>
      <xdr:spPr bwMode="auto">
        <a:xfrm rot="5400000">
          <a:off x="17880705" y="9684661"/>
          <a:ext cx="471054" cy="27894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178</xdr:col>
      <xdr:colOff>158255</xdr:colOff>
      <xdr:row>34</xdr:row>
      <xdr:rowOff>190500</xdr:rowOff>
    </xdr:from>
    <xdr:to>
      <xdr:col>180</xdr:col>
      <xdr:colOff>291112</xdr:colOff>
      <xdr:row>35</xdr:row>
      <xdr:rowOff>180067</xdr:rowOff>
    </xdr:to>
    <xdr:sp macro="" textlink="">
      <xdr:nvSpPr>
        <xdr:cNvPr id="5" name="矢印: 下カーブ 4">
          <a:extLst>
            <a:ext uri="{FF2B5EF4-FFF2-40B4-BE49-F238E27FC236}">
              <a16:creationId xmlns:a16="http://schemas.microsoft.com/office/drawing/2014/main" id="{7955087A-C4BC-468E-91FB-943FE3B2D003}"/>
            </a:ext>
          </a:extLst>
        </xdr:cNvPr>
        <xdr:cNvSpPr/>
      </xdr:nvSpPr>
      <xdr:spPr>
        <a:xfrm>
          <a:off x="18110975" y="9197340"/>
          <a:ext cx="757697" cy="25626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180</xdr:col>
      <xdr:colOff>218911</xdr:colOff>
      <xdr:row>19</xdr:row>
      <xdr:rowOff>96446</xdr:rowOff>
    </xdr:from>
    <xdr:ext cx="278946" cy="471054"/>
    <xdr:sp macro="" textlink="">
      <xdr:nvSpPr>
        <xdr:cNvPr id="6" name="AutoShape 332">
          <a:extLst>
            <a:ext uri="{FF2B5EF4-FFF2-40B4-BE49-F238E27FC236}">
              <a16:creationId xmlns:a16="http://schemas.microsoft.com/office/drawing/2014/main" id="{3BAF62BA-B081-4807-94F6-9215D7FA383D}"/>
            </a:ext>
          </a:extLst>
        </xdr:cNvPr>
        <xdr:cNvSpPr>
          <a:spLocks noChangeArrowheads="1"/>
        </xdr:cNvSpPr>
      </xdr:nvSpPr>
      <xdr:spPr bwMode="auto">
        <a:xfrm rot="5400000">
          <a:off x="18700417" y="5198840"/>
          <a:ext cx="471054" cy="278946"/>
        </a:xfrm>
        <a:prstGeom prst="triangle">
          <a:avLst>
            <a:gd name="adj" fmla="val 50000"/>
          </a:avLst>
        </a:prstGeom>
        <a:solidFill>
          <a:schemeClr val="bg1">
            <a:lumMod val="75000"/>
          </a:schemeClr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188</xdr:col>
      <xdr:colOff>180068</xdr:colOff>
      <xdr:row>169</xdr:row>
      <xdr:rowOff>234042</xdr:rowOff>
    </xdr:from>
    <xdr:to>
      <xdr:col>247</xdr:col>
      <xdr:colOff>9649</xdr:colOff>
      <xdr:row>169</xdr:row>
      <xdr:rowOff>234704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BE11C5B-F074-4CD1-A9DB-60DED47BCD26}"/>
            </a:ext>
          </a:extLst>
        </xdr:cNvPr>
        <xdr:cNvCxnSpPr>
          <a:cxnSpLocks/>
          <a:stCxn id="156" idx="3"/>
        </xdr:cNvCxnSpPr>
      </xdr:nvCxnSpPr>
      <xdr:spPr>
        <a:xfrm flipH="1">
          <a:off x="21256988" y="46335042"/>
          <a:ext cx="18262361" cy="662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189</xdr:col>
      <xdr:colOff>66157</xdr:colOff>
      <xdr:row>164</xdr:row>
      <xdr:rowOff>0</xdr:rowOff>
    </xdr:from>
    <xdr:to>
      <xdr:col>230</xdr:col>
      <xdr:colOff>0</xdr:colOff>
      <xdr:row>164</xdr:row>
      <xdr:rowOff>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A329054D-CDE6-4193-972A-639C6BB55945}"/>
            </a:ext>
          </a:extLst>
        </xdr:cNvPr>
        <xdr:cNvCxnSpPr>
          <a:cxnSpLocks/>
        </xdr:cNvCxnSpPr>
      </xdr:nvCxnSpPr>
      <xdr:spPr>
        <a:xfrm flipH="1">
          <a:off x="21455497" y="44904660"/>
          <a:ext cx="12743063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309239</xdr:colOff>
      <xdr:row>25</xdr:row>
      <xdr:rowOff>260962</xdr:rowOff>
    </xdr:from>
    <xdr:to>
      <xdr:col>144</xdr:col>
      <xdr:colOff>9072</xdr:colOff>
      <xdr:row>28</xdr:row>
      <xdr:rowOff>161638</xdr:rowOff>
    </xdr:to>
    <xdr:sp macro="" textlink="">
      <xdr:nvSpPr>
        <xdr:cNvPr id="9" name="Text Box 327">
          <a:extLst>
            <a:ext uri="{FF2B5EF4-FFF2-40B4-BE49-F238E27FC236}">
              <a16:creationId xmlns:a16="http://schemas.microsoft.com/office/drawing/2014/main" id="{66059DB7-491D-4740-A5CB-B6627B46442D}"/>
            </a:ext>
          </a:extLst>
        </xdr:cNvPr>
        <xdr:cNvSpPr txBox="1">
          <a:spLocks noChangeArrowheads="1"/>
        </xdr:cNvSpPr>
      </xdr:nvSpPr>
      <xdr:spPr bwMode="auto">
        <a:xfrm>
          <a:off x="6702419" y="6867502"/>
          <a:ext cx="637093" cy="70077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149</xdr:col>
      <xdr:colOff>133350</xdr:colOff>
      <xdr:row>67</xdr:row>
      <xdr:rowOff>223656</xdr:rowOff>
    </xdr:from>
    <xdr:to>
      <xdr:col>208</xdr:col>
      <xdr:colOff>23813</xdr:colOff>
      <xdr:row>67</xdr:row>
      <xdr:rowOff>223656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968418D8-5608-4F8A-A56D-46D2C320C2BC}"/>
            </a:ext>
          </a:extLst>
        </xdr:cNvPr>
        <xdr:cNvCxnSpPr>
          <a:cxnSpLocks/>
        </xdr:cNvCxnSpPr>
      </xdr:nvCxnSpPr>
      <xdr:spPr>
        <a:xfrm>
          <a:off x="9025890" y="18115416"/>
          <a:ext cx="1832324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266700</xdr:colOff>
      <xdr:row>61</xdr:row>
      <xdr:rowOff>210956</xdr:rowOff>
    </xdr:from>
    <xdr:to>
      <xdr:col>203</xdr:col>
      <xdr:colOff>285750</xdr:colOff>
      <xdr:row>61</xdr:row>
      <xdr:rowOff>210956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ED0EEA5F-DDBF-4B36-8816-5B18DD319FE0}"/>
            </a:ext>
          </a:extLst>
        </xdr:cNvPr>
        <xdr:cNvCxnSpPr>
          <a:cxnSpLocks/>
        </xdr:cNvCxnSpPr>
      </xdr:nvCxnSpPr>
      <xdr:spPr>
        <a:xfrm>
          <a:off x="4785360" y="16395836"/>
          <a:ext cx="2126361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180242</xdr:colOff>
      <xdr:row>60</xdr:row>
      <xdr:rowOff>150092</xdr:rowOff>
    </xdr:from>
    <xdr:to>
      <xdr:col>127</xdr:col>
      <xdr:colOff>238125</xdr:colOff>
      <xdr:row>62</xdr:row>
      <xdr:rowOff>146289</xdr:rowOff>
    </xdr:to>
    <xdr:sp macro="" textlink="">
      <xdr:nvSpPr>
        <xdr:cNvPr id="12" name="Text Box 327">
          <a:extLst>
            <a:ext uri="{FF2B5EF4-FFF2-40B4-BE49-F238E27FC236}">
              <a16:creationId xmlns:a16="http://schemas.microsoft.com/office/drawing/2014/main" id="{09F7AEC4-DF7A-4916-B15D-875DE2D604B6}"/>
            </a:ext>
          </a:extLst>
        </xdr:cNvPr>
        <xdr:cNvSpPr txBox="1">
          <a:spLocks noChangeArrowheads="1"/>
        </xdr:cNvSpPr>
      </xdr:nvSpPr>
      <xdr:spPr bwMode="auto">
        <a:xfrm>
          <a:off x="4518660" y="16091132"/>
          <a:ext cx="0" cy="704857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204</xdr:col>
      <xdr:colOff>105508</xdr:colOff>
      <xdr:row>61</xdr:row>
      <xdr:rowOff>63010</xdr:rowOff>
    </xdr:from>
    <xdr:to>
      <xdr:col>205</xdr:col>
      <xdr:colOff>66675</xdr:colOff>
      <xdr:row>62</xdr:row>
      <xdr:rowOff>57149</xdr:rowOff>
    </xdr:to>
    <xdr:sp macro="" textlink="">
      <xdr:nvSpPr>
        <xdr:cNvPr id="13" name="AutoShape 332">
          <a:extLst>
            <a:ext uri="{FF2B5EF4-FFF2-40B4-BE49-F238E27FC236}">
              <a16:creationId xmlns:a16="http://schemas.microsoft.com/office/drawing/2014/main" id="{A92E8B1D-A826-42AA-88BA-5513ED9EE994}"/>
            </a:ext>
          </a:extLst>
        </xdr:cNvPr>
        <xdr:cNvSpPr>
          <a:spLocks noChangeArrowheads="1"/>
        </xdr:cNvSpPr>
      </xdr:nvSpPr>
      <xdr:spPr bwMode="auto">
        <a:xfrm rot="5400000">
          <a:off x="26088462" y="16340576"/>
          <a:ext cx="458959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120</xdr:col>
      <xdr:colOff>66675</xdr:colOff>
      <xdr:row>60</xdr:row>
      <xdr:rowOff>247650</xdr:rowOff>
    </xdr:from>
    <xdr:to>
      <xdr:col>123</xdr:col>
      <xdr:colOff>24535</xdr:colOff>
      <xdr:row>62</xdr:row>
      <xdr:rowOff>141142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254951C-E55E-43AE-8D22-7F5B1CF42AEE}"/>
            </a:ext>
          </a:extLst>
        </xdr:cNvPr>
        <xdr:cNvSpPr/>
      </xdr:nvSpPr>
      <xdr:spPr>
        <a:xfrm>
          <a:off x="4518660" y="16181070"/>
          <a:ext cx="0" cy="6097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JPN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190</xdr:col>
      <xdr:colOff>301626</xdr:colOff>
      <xdr:row>61</xdr:row>
      <xdr:rowOff>12700</xdr:rowOff>
    </xdr:from>
    <xdr:to>
      <xdr:col>193</xdr:col>
      <xdr:colOff>9525</xdr:colOff>
      <xdr:row>62</xdr:row>
      <xdr:rowOff>88649</xdr:rowOff>
    </xdr:to>
    <xdr:sp macro="" textlink="">
      <xdr:nvSpPr>
        <xdr:cNvPr id="15" name="Text Box 327">
          <a:extLst>
            <a:ext uri="{FF2B5EF4-FFF2-40B4-BE49-F238E27FC236}">
              <a16:creationId xmlns:a16="http://schemas.microsoft.com/office/drawing/2014/main" id="{B1978555-8972-4DCC-9336-EB503743846B}"/>
            </a:ext>
          </a:extLst>
        </xdr:cNvPr>
        <xdr:cNvSpPr txBox="1">
          <a:spLocks noChangeArrowheads="1"/>
        </xdr:cNvSpPr>
      </xdr:nvSpPr>
      <xdr:spPr bwMode="auto">
        <a:xfrm>
          <a:off x="22003386" y="16197580"/>
          <a:ext cx="645159" cy="54076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oneCellAnchor>
    <xdr:from>
      <xdr:col>137</xdr:col>
      <xdr:colOff>61912</xdr:colOff>
      <xdr:row>60</xdr:row>
      <xdr:rowOff>209550</xdr:rowOff>
    </xdr:from>
    <xdr:ext cx="584494" cy="751418"/>
    <xdr:sp macro="" textlink="">
      <xdr:nvSpPr>
        <xdr:cNvPr id="16" name="Text Box 327">
          <a:extLst>
            <a:ext uri="{FF2B5EF4-FFF2-40B4-BE49-F238E27FC236}">
              <a16:creationId xmlns:a16="http://schemas.microsoft.com/office/drawing/2014/main" id="{AB2155AD-D5F9-4CA7-9C02-DDE1396010CF}"/>
            </a:ext>
          </a:extLst>
        </xdr:cNvPr>
        <xdr:cNvSpPr txBox="1">
          <a:spLocks noChangeArrowheads="1"/>
        </xdr:cNvSpPr>
      </xdr:nvSpPr>
      <xdr:spPr bwMode="auto">
        <a:xfrm flipH="1">
          <a:off x="5205412" y="16150590"/>
          <a:ext cx="584494" cy="751418"/>
        </a:xfrm>
        <a:prstGeom prst="parallelogram">
          <a:avLst>
            <a:gd name="adj" fmla="val 0"/>
          </a:avLst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F/Air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05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147</xdr:col>
      <xdr:colOff>184987</xdr:colOff>
      <xdr:row>61</xdr:row>
      <xdr:rowOff>25978</xdr:rowOff>
    </xdr:from>
    <xdr:ext cx="584494" cy="762000"/>
    <xdr:sp macro="" textlink="">
      <xdr:nvSpPr>
        <xdr:cNvPr id="17" name="Text Box 327">
          <a:extLst>
            <a:ext uri="{FF2B5EF4-FFF2-40B4-BE49-F238E27FC236}">
              <a16:creationId xmlns:a16="http://schemas.microsoft.com/office/drawing/2014/main" id="{08ED883C-3DA4-482E-BAA3-CABB85183D82}"/>
            </a:ext>
          </a:extLst>
        </xdr:cNvPr>
        <xdr:cNvSpPr txBox="1">
          <a:spLocks noChangeArrowheads="1"/>
        </xdr:cNvSpPr>
      </xdr:nvSpPr>
      <xdr:spPr bwMode="auto">
        <a:xfrm flipH="1">
          <a:off x="8452687" y="16210858"/>
          <a:ext cx="584494" cy="762000"/>
        </a:xfrm>
        <a:prstGeom prst="parallelogram">
          <a:avLst>
            <a:gd name="adj" fmla="val 0"/>
          </a:avLst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11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Bus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204</xdr:col>
      <xdr:colOff>116968</xdr:colOff>
      <xdr:row>60</xdr:row>
      <xdr:rowOff>60569</xdr:rowOff>
    </xdr:from>
    <xdr:ext cx="1097024" cy="29886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EDA249E2-0A32-4ADA-92CE-AAF04F266059}"/>
            </a:ext>
          </a:extLst>
        </xdr:cNvPr>
        <xdr:cNvSpPr txBox="1"/>
      </xdr:nvSpPr>
      <xdr:spPr>
        <a:xfrm>
          <a:off x="26192608" y="1600160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KD-SOP</a:t>
          </a:r>
        </a:p>
      </xdr:txBody>
    </xdr:sp>
    <xdr:clientData/>
  </xdr:oneCellAnchor>
  <xdr:twoCellAnchor>
    <xdr:from>
      <xdr:col>217</xdr:col>
      <xdr:colOff>105508</xdr:colOff>
      <xdr:row>62</xdr:row>
      <xdr:rowOff>177312</xdr:rowOff>
    </xdr:from>
    <xdr:to>
      <xdr:col>218</xdr:col>
      <xdr:colOff>76200</xdr:colOff>
      <xdr:row>63</xdr:row>
      <xdr:rowOff>171451</xdr:rowOff>
    </xdr:to>
    <xdr:sp macro="" textlink="">
      <xdr:nvSpPr>
        <xdr:cNvPr id="19" name="AutoShape 332">
          <a:extLst>
            <a:ext uri="{FF2B5EF4-FFF2-40B4-BE49-F238E27FC236}">
              <a16:creationId xmlns:a16="http://schemas.microsoft.com/office/drawing/2014/main" id="{ABD8CE8E-B65E-453D-B2AD-20B0ABDD3F2B}"/>
            </a:ext>
          </a:extLst>
        </xdr:cNvPr>
        <xdr:cNvSpPr>
          <a:spLocks noChangeArrowheads="1"/>
        </xdr:cNvSpPr>
      </xdr:nvSpPr>
      <xdr:spPr bwMode="auto">
        <a:xfrm rot="5400000">
          <a:off x="30268984" y="16800636"/>
          <a:ext cx="230359" cy="283112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217</xdr:col>
      <xdr:colOff>28068</xdr:colOff>
      <xdr:row>61</xdr:row>
      <xdr:rowOff>317745</xdr:rowOff>
    </xdr:from>
    <xdr:ext cx="1097024" cy="298864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30AF825D-004E-4003-A389-BD986BD1B8BF}"/>
            </a:ext>
          </a:extLst>
        </xdr:cNvPr>
        <xdr:cNvSpPr txBox="1"/>
      </xdr:nvSpPr>
      <xdr:spPr>
        <a:xfrm>
          <a:off x="30165168" y="1650262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69272</xdr:colOff>
      <xdr:row>68</xdr:row>
      <xdr:rowOff>42657</xdr:rowOff>
    </xdr:from>
    <xdr:to>
      <xdr:col>221</xdr:col>
      <xdr:colOff>95250</xdr:colOff>
      <xdr:row>68</xdr:row>
      <xdr:rowOff>43523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28184797-B828-461A-9F7B-010113B7F007}"/>
            </a:ext>
          </a:extLst>
        </xdr:cNvPr>
        <xdr:cNvCxnSpPr>
          <a:cxnSpLocks/>
          <a:endCxn id="24" idx="3"/>
        </xdr:cNvCxnSpPr>
      </xdr:nvCxnSpPr>
      <xdr:spPr>
        <a:xfrm flipV="1">
          <a:off x="8649392" y="18643077"/>
          <a:ext cx="22832638" cy="86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292894</xdr:colOff>
      <xdr:row>66</xdr:row>
      <xdr:rowOff>133350</xdr:rowOff>
    </xdr:from>
    <xdr:to>
      <xdr:col>149</xdr:col>
      <xdr:colOff>190500</xdr:colOff>
      <xdr:row>67</xdr:row>
      <xdr:rowOff>426602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B6720A4-6168-4D2C-9627-375EE5E9B50C}"/>
            </a:ext>
          </a:extLst>
        </xdr:cNvPr>
        <xdr:cNvSpPr/>
      </xdr:nvSpPr>
      <xdr:spPr>
        <a:xfrm>
          <a:off x="6998494" y="17788890"/>
          <a:ext cx="2084546" cy="5294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ysClr val="windowText" lastClr="000000"/>
              </a:solidFill>
            </a:rPr>
            <a:t>サウジ他</a:t>
          </a:r>
          <a:r>
            <a:rPr kumimoji="1" lang="en-US" altLang="ja-JP" sz="1800" b="1">
              <a:solidFill>
                <a:sysClr val="windowText" lastClr="000000"/>
              </a:solidFill>
            </a:rPr>
            <a:t>(E5)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221</xdr:col>
      <xdr:colOff>85218</xdr:colOff>
      <xdr:row>67</xdr:row>
      <xdr:rowOff>342783</xdr:rowOff>
    </xdr:from>
    <xdr:ext cx="1097024" cy="298864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51D2247-C531-4BE9-B9EC-8E3E4347B658}"/>
            </a:ext>
          </a:extLst>
        </xdr:cNvPr>
        <xdr:cNvSpPr txBox="1"/>
      </xdr:nvSpPr>
      <xdr:spPr>
        <a:xfrm>
          <a:off x="31471998" y="18234543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221</xdr:col>
      <xdr:colOff>95250</xdr:colOff>
      <xdr:row>67</xdr:row>
      <xdr:rowOff>653777</xdr:rowOff>
    </xdr:from>
    <xdr:to>
      <xdr:col>221</xdr:col>
      <xdr:colOff>228600</xdr:colOff>
      <xdr:row>68</xdr:row>
      <xdr:rowOff>176216</xdr:rowOff>
    </xdr:to>
    <xdr:sp macro="" textlink="">
      <xdr:nvSpPr>
        <xdr:cNvPr id="24" name="AutoShape 332">
          <a:extLst>
            <a:ext uri="{FF2B5EF4-FFF2-40B4-BE49-F238E27FC236}">
              <a16:creationId xmlns:a16="http://schemas.microsoft.com/office/drawing/2014/main" id="{F2F76620-0F22-4F34-8411-714E8FF0FB7D}"/>
            </a:ext>
          </a:extLst>
        </xdr:cNvPr>
        <xdr:cNvSpPr>
          <a:spLocks noChangeArrowheads="1"/>
        </xdr:cNvSpPr>
      </xdr:nvSpPr>
      <xdr:spPr bwMode="auto">
        <a:xfrm rot="5400000">
          <a:off x="31433155" y="18594412"/>
          <a:ext cx="231099" cy="13335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208</xdr:col>
      <xdr:colOff>48357</xdr:colOff>
      <xdr:row>67</xdr:row>
      <xdr:rowOff>90792</xdr:rowOff>
    </xdr:from>
    <xdr:to>
      <xdr:col>209</xdr:col>
      <xdr:colOff>9524</xdr:colOff>
      <xdr:row>67</xdr:row>
      <xdr:rowOff>327024</xdr:rowOff>
    </xdr:to>
    <xdr:sp macro="" textlink="">
      <xdr:nvSpPr>
        <xdr:cNvPr id="25" name="AutoShape 332">
          <a:extLst>
            <a:ext uri="{FF2B5EF4-FFF2-40B4-BE49-F238E27FC236}">
              <a16:creationId xmlns:a16="http://schemas.microsoft.com/office/drawing/2014/main" id="{6B4DB054-B7EB-449F-AE6E-5A1D02E89736}"/>
            </a:ext>
          </a:extLst>
        </xdr:cNvPr>
        <xdr:cNvSpPr>
          <a:spLocks noChangeArrowheads="1"/>
        </xdr:cNvSpPr>
      </xdr:nvSpPr>
      <xdr:spPr bwMode="auto">
        <a:xfrm rot="5400000">
          <a:off x="27392355" y="17963874"/>
          <a:ext cx="236232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209</xdr:col>
      <xdr:colOff>4256</xdr:colOff>
      <xdr:row>67</xdr:row>
      <xdr:rowOff>21676</xdr:rowOff>
    </xdr:from>
    <xdr:ext cx="1097024" cy="298864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7455F19E-DA4D-4832-9D85-12B12C2F8312}"/>
            </a:ext>
          </a:extLst>
        </xdr:cNvPr>
        <xdr:cNvSpPr txBox="1"/>
      </xdr:nvSpPr>
      <xdr:spPr>
        <a:xfrm>
          <a:off x="27641996" y="1791343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167</xdr:col>
      <xdr:colOff>17093</xdr:colOff>
      <xdr:row>14</xdr:row>
      <xdr:rowOff>47412</xdr:rowOff>
    </xdr:from>
    <xdr:to>
      <xdr:col>167</xdr:col>
      <xdr:colOff>271650</xdr:colOff>
      <xdr:row>15</xdr:row>
      <xdr:rowOff>200387</xdr:rowOff>
    </xdr:to>
    <xdr:sp macro="" textlink="">
      <xdr:nvSpPr>
        <xdr:cNvPr id="27" name="AutoShape 332">
          <a:extLst>
            <a:ext uri="{FF2B5EF4-FFF2-40B4-BE49-F238E27FC236}">
              <a16:creationId xmlns:a16="http://schemas.microsoft.com/office/drawing/2014/main" id="{92CD0AFF-5303-4B77-B93E-E9BA4EF111B8}"/>
            </a:ext>
          </a:extLst>
        </xdr:cNvPr>
        <xdr:cNvSpPr>
          <a:spLocks noChangeArrowheads="1"/>
        </xdr:cNvSpPr>
      </xdr:nvSpPr>
      <xdr:spPr bwMode="auto">
        <a:xfrm rot="5400000">
          <a:off x="14450634" y="3802811"/>
          <a:ext cx="419675" cy="25455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128</xdr:col>
      <xdr:colOff>328819</xdr:colOff>
      <xdr:row>11</xdr:row>
      <xdr:rowOff>59228</xdr:rowOff>
    </xdr:from>
    <xdr:to>
      <xdr:col>130</xdr:col>
      <xdr:colOff>321387</xdr:colOff>
      <xdr:row>12</xdr:row>
      <xdr:rowOff>134876</xdr:rowOff>
    </xdr:to>
    <xdr:sp macro="" textlink="">
      <xdr:nvSpPr>
        <xdr:cNvPr id="28" name="Text Box 327">
          <a:extLst>
            <a:ext uri="{FF2B5EF4-FFF2-40B4-BE49-F238E27FC236}">
              <a16:creationId xmlns:a16="http://schemas.microsoft.com/office/drawing/2014/main" id="{84D2FFE4-09A8-4D56-8EF9-BC12E1F30EB2}"/>
            </a:ext>
          </a:extLst>
        </xdr:cNvPr>
        <xdr:cNvSpPr txBox="1">
          <a:spLocks noChangeArrowheads="1"/>
        </xdr:cNvSpPr>
      </xdr:nvSpPr>
      <xdr:spPr bwMode="auto">
        <a:xfrm>
          <a:off x="4518660" y="2931968"/>
          <a:ext cx="0" cy="34234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120</xdr:col>
      <xdr:colOff>16395</xdr:colOff>
      <xdr:row>11</xdr:row>
      <xdr:rowOff>69272</xdr:rowOff>
    </xdr:from>
    <xdr:to>
      <xdr:col>122</xdr:col>
      <xdr:colOff>7691</xdr:colOff>
      <xdr:row>12</xdr:row>
      <xdr:rowOff>140328</xdr:rowOff>
    </xdr:to>
    <xdr:sp macro="" textlink="">
      <xdr:nvSpPr>
        <xdr:cNvPr id="29" name="Text Box 327">
          <a:extLst>
            <a:ext uri="{FF2B5EF4-FFF2-40B4-BE49-F238E27FC236}">
              <a16:creationId xmlns:a16="http://schemas.microsoft.com/office/drawing/2014/main" id="{915B28EA-5B00-425A-A383-E36797E8CEA1}"/>
            </a:ext>
          </a:extLst>
        </xdr:cNvPr>
        <xdr:cNvSpPr txBox="1">
          <a:spLocks noChangeArrowheads="1"/>
        </xdr:cNvSpPr>
      </xdr:nvSpPr>
      <xdr:spPr bwMode="auto">
        <a:xfrm>
          <a:off x="4518660" y="2942012"/>
          <a:ext cx="0" cy="33775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前半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135</xdr:col>
      <xdr:colOff>1763</xdr:colOff>
      <xdr:row>14</xdr:row>
      <xdr:rowOff>8063</xdr:rowOff>
    </xdr:from>
    <xdr:to>
      <xdr:col>139</xdr:col>
      <xdr:colOff>1</xdr:colOff>
      <xdr:row>15</xdr:row>
      <xdr:rowOff>195035</xdr:rowOff>
    </xdr:to>
    <xdr:sp macro="" textlink="">
      <xdr:nvSpPr>
        <xdr:cNvPr id="30" name="Text Box 327">
          <a:extLst>
            <a:ext uri="{FF2B5EF4-FFF2-40B4-BE49-F238E27FC236}">
              <a16:creationId xmlns:a16="http://schemas.microsoft.com/office/drawing/2014/main" id="{AE6ECDC0-CE3E-4C25-A631-25192F7E8DDD}"/>
            </a:ext>
          </a:extLst>
        </xdr:cNvPr>
        <xdr:cNvSpPr txBox="1">
          <a:spLocks noChangeArrowheads="1"/>
        </xdr:cNvSpPr>
      </xdr:nvSpPr>
      <xdr:spPr bwMode="auto">
        <a:xfrm>
          <a:off x="4520423" y="3680903"/>
          <a:ext cx="1247918" cy="45367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(4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134</xdr:col>
      <xdr:colOff>297570</xdr:colOff>
      <xdr:row>25</xdr:row>
      <xdr:rowOff>253208</xdr:rowOff>
    </xdr:from>
    <xdr:to>
      <xdr:col>137</xdr:col>
      <xdr:colOff>36286</xdr:colOff>
      <xdr:row>27</xdr:row>
      <xdr:rowOff>264907</xdr:rowOff>
    </xdr:to>
    <xdr:sp macro="" textlink="">
      <xdr:nvSpPr>
        <xdr:cNvPr id="31" name="Text Box 327">
          <a:extLst>
            <a:ext uri="{FF2B5EF4-FFF2-40B4-BE49-F238E27FC236}">
              <a16:creationId xmlns:a16="http://schemas.microsoft.com/office/drawing/2014/main" id="{701CF331-6926-4375-AD31-B6F89D81F870}"/>
            </a:ext>
          </a:extLst>
        </xdr:cNvPr>
        <xdr:cNvSpPr txBox="1">
          <a:spLocks noChangeArrowheads="1"/>
        </xdr:cNvSpPr>
      </xdr:nvSpPr>
      <xdr:spPr bwMode="auto">
        <a:xfrm>
          <a:off x="4518660" y="6859748"/>
          <a:ext cx="661126" cy="54509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177</xdr:col>
      <xdr:colOff>71885</xdr:colOff>
      <xdr:row>26</xdr:row>
      <xdr:rowOff>39308</xdr:rowOff>
    </xdr:from>
    <xdr:to>
      <xdr:col>178</xdr:col>
      <xdr:colOff>43499</xdr:colOff>
      <xdr:row>27</xdr:row>
      <xdr:rowOff>251071</xdr:rowOff>
    </xdr:to>
    <xdr:sp macro="" textlink="">
      <xdr:nvSpPr>
        <xdr:cNvPr id="32" name="AutoShape 332">
          <a:extLst>
            <a:ext uri="{FF2B5EF4-FFF2-40B4-BE49-F238E27FC236}">
              <a16:creationId xmlns:a16="http://schemas.microsoft.com/office/drawing/2014/main" id="{EA3305E6-9E97-462D-BB0A-6C0225D70FD4}"/>
            </a:ext>
          </a:extLst>
        </xdr:cNvPr>
        <xdr:cNvSpPr>
          <a:spLocks noChangeArrowheads="1"/>
        </xdr:cNvSpPr>
      </xdr:nvSpPr>
      <xdr:spPr bwMode="auto">
        <a:xfrm rot="5400000">
          <a:off x="17614970" y="7009763"/>
          <a:ext cx="478463" cy="28403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143</xdr:col>
      <xdr:colOff>287729</xdr:colOff>
      <xdr:row>35</xdr:row>
      <xdr:rowOff>53392</xdr:rowOff>
    </xdr:from>
    <xdr:to>
      <xdr:col>146</xdr:col>
      <xdr:colOff>0</xdr:colOff>
      <xdr:row>38</xdr:row>
      <xdr:rowOff>39504</xdr:rowOff>
    </xdr:to>
    <xdr:sp macro="" textlink="">
      <xdr:nvSpPr>
        <xdr:cNvPr id="33" name="Text Box 327">
          <a:extLst>
            <a:ext uri="{FF2B5EF4-FFF2-40B4-BE49-F238E27FC236}">
              <a16:creationId xmlns:a16="http://schemas.microsoft.com/office/drawing/2014/main" id="{91E43C8E-70A6-4820-8EEF-2F2AA8052548}"/>
            </a:ext>
          </a:extLst>
        </xdr:cNvPr>
        <xdr:cNvSpPr txBox="1">
          <a:spLocks noChangeArrowheads="1"/>
        </xdr:cNvSpPr>
      </xdr:nvSpPr>
      <xdr:spPr bwMode="auto">
        <a:xfrm>
          <a:off x="7305749" y="9326932"/>
          <a:ext cx="649531" cy="78621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高型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NPS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前半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129</xdr:col>
      <xdr:colOff>7827</xdr:colOff>
      <xdr:row>26</xdr:row>
      <xdr:rowOff>89049</xdr:rowOff>
    </xdr:from>
    <xdr:to>
      <xdr:col>130</xdr:col>
      <xdr:colOff>324245</xdr:colOff>
      <xdr:row>27</xdr:row>
      <xdr:rowOff>160024</xdr:rowOff>
    </xdr:to>
    <xdr:sp macro="" textlink="">
      <xdr:nvSpPr>
        <xdr:cNvPr id="34" name="Text Box 327">
          <a:extLst>
            <a:ext uri="{FF2B5EF4-FFF2-40B4-BE49-F238E27FC236}">
              <a16:creationId xmlns:a16="http://schemas.microsoft.com/office/drawing/2014/main" id="{6EF2504B-B1A2-4C18-807D-A70F1D0B06AF}"/>
            </a:ext>
          </a:extLst>
        </xdr:cNvPr>
        <xdr:cNvSpPr txBox="1">
          <a:spLocks noChangeArrowheads="1"/>
        </xdr:cNvSpPr>
      </xdr:nvSpPr>
      <xdr:spPr bwMode="auto">
        <a:xfrm>
          <a:off x="4518660" y="6962289"/>
          <a:ext cx="0" cy="33767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154</xdr:col>
      <xdr:colOff>304801</xdr:colOff>
      <xdr:row>41</xdr:row>
      <xdr:rowOff>20668</xdr:rowOff>
    </xdr:from>
    <xdr:to>
      <xdr:col>156</xdr:col>
      <xdr:colOff>265546</xdr:colOff>
      <xdr:row>42</xdr:row>
      <xdr:rowOff>219365</xdr:rowOff>
    </xdr:to>
    <xdr:sp macro="" textlink="">
      <xdr:nvSpPr>
        <xdr:cNvPr id="35" name="Text Box 327">
          <a:extLst>
            <a:ext uri="{FF2B5EF4-FFF2-40B4-BE49-F238E27FC236}">
              <a16:creationId xmlns:a16="http://schemas.microsoft.com/office/drawing/2014/main" id="{D4A60277-2647-4CFC-BE2E-B7BC7E5C6EFE}"/>
            </a:ext>
          </a:extLst>
        </xdr:cNvPr>
        <xdr:cNvSpPr txBox="1">
          <a:spLocks noChangeArrowheads="1"/>
        </xdr:cNvSpPr>
      </xdr:nvSpPr>
      <xdr:spPr bwMode="auto">
        <a:xfrm>
          <a:off x="10759441" y="10894408"/>
          <a:ext cx="585585" cy="46539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173</xdr:col>
      <xdr:colOff>207653</xdr:colOff>
      <xdr:row>41</xdr:row>
      <xdr:rowOff>46677</xdr:rowOff>
    </xdr:from>
    <xdr:to>
      <xdr:col>175</xdr:col>
      <xdr:colOff>163979</xdr:colOff>
      <xdr:row>42</xdr:row>
      <xdr:rowOff>246392</xdr:rowOff>
    </xdr:to>
    <xdr:sp macro="" textlink="">
      <xdr:nvSpPr>
        <xdr:cNvPr id="36" name="Text Box 327">
          <a:extLst>
            <a:ext uri="{FF2B5EF4-FFF2-40B4-BE49-F238E27FC236}">
              <a16:creationId xmlns:a16="http://schemas.microsoft.com/office/drawing/2014/main" id="{9BD88873-CFD5-4418-8887-40921EA3A30D}"/>
            </a:ext>
          </a:extLst>
        </xdr:cNvPr>
        <xdr:cNvSpPr txBox="1">
          <a:spLocks noChangeArrowheads="1"/>
        </xdr:cNvSpPr>
      </xdr:nvSpPr>
      <xdr:spPr bwMode="auto">
        <a:xfrm>
          <a:off x="16598273" y="10920417"/>
          <a:ext cx="581166" cy="46641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189</xdr:col>
      <xdr:colOff>176356</xdr:colOff>
      <xdr:row>41</xdr:row>
      <xdr:rowOff>89149</xdr:rowOff>
    </xdr:from>
    <xdr:to>
      <xdr:col>190</xdr:col>
      <xdr:colOff>62385</xdr:colOff>
      <xdr:row>42</xdr:row>
      <xdr:rowOff>241757</xdr:rowOff>
    </xdr:to>
    <xdr:sp macro="" textlink="">
      <xdr:nvSpPr>
        <xdr:cNvPr id="37" name="AutoShape 332">
          <a:extLst>
            <a:ext uri="{FF2B5EF4-FFF2-40B4-BE49-F238E27FC236}">
              <a16:creationId xmlns:a16="http://schemas.microsoft.com/office/drawing/2014/main" id="{04377AD7-E43E-4D55-8EFC-E051AAE16ABF}"/>
            </a:ext>
          </a:extLst>
        </xdr:cNvPr>
        <xdr:cNvSpPr>
          <a:spLocks noChangeArrowheads="1"/>
        </xdr:cNvSpPr>
      </xdr:nvSpPr>
      <xdr:spPr bwMode="auto">
        <a:xfrm rot="5400000">
          <a:off x="21455267" y="11073318"/>
          <a:ext cx="419308" cy="198449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183</xdr:col>
      <xdr:colOff>196514</xdr:colOff>
      <xdr:row>47</xdr:row>
      <xdr:rowOff>152566</xdr:rowOff>
    </xdr:from>
    <xdr:to>
      <xdr:col>187</xdr:col>
      <xdr:colOff>214745</xdr:colOff>
      <xdr:row>49</xdr:row>
      <xdr:rowOff>152565</xdr:rowOff>
    </xdr:to>
    <xdr:sp macro="" textlink="">
      <xdr:nvSpPr>
        <xdr:cNvPr id="38" name="Text Box 327">
          <a:extLst>
            <a:ext uri="{FF2B5EF4-FFF2-40B4-BE49-F238E27FC236}">
              <a16:creationId xmlns:a16="http://schemas.microsoft.com/office/drawing/2014/main" id="{50580596-F67F-4C91-876B-147A0B9FAA54}"/>
            </a:ext>
          </a:extLst>
        </xdr:cNvPr>
        <xdr:cNvSpPr txBox="1">
          <a:spLocks noChangeArrowheads="1"/>
        </xdr:cNvSpPr>
      </xdr:nvSpPr>
      <xdr:spPr bwMode="auto">
        <a:xfrm>
          <a:off x="19711334" y="12626506"/>
          <a:ext cx="1267911" cy="53339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(8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225</xdr:col>
      <xdr:colOff>319511</xdr:colOff>
      <xdr:row>48</xdr:row>
      <xdr:rowOff>54292</xdr:rowOff>
    </xdr:from>
    <xdr:to>
      <xdr:col>226</xdr:col>
      <xdr:colOff>309309</xdr:colOff>
      <xdr:row>49</xdr:row>
      <xdr:rowOff>233411</xdr:rowOff>
    </xdr:to>
    <xdr:sp macro="" textlink="">
      <xdr:nvSpPr>
        <xdr:cNvPr id="39" name="AutoShape 332">
          <a:extLst>
            <a:ext uri="{FF2B5EF4-FFF2-40B4-BE49-F238E27FC236}">
              <a16:creationId xmlns:a16="http://schemas.microsoft.com/office/drawing/2014/main" id="{693FE8E6-546B-4618-A807-4F416A5ADDEC}"/>
            </a:ext>
          </a:extLst>
        </xdr:cNvPr>
        <xdr:cNvSpPr>
          <a:spLocks noChangeArrowheads="1"/>
        </xdr:cNvSpPr>
      </xdr:nvSpPr>
      <xdr:spPr bwMode="auto">
        <a:xfrm rot="5400000">
          <a:off x="32880360" y="12862923"/>
          <a:ext cx="445819" cy="309838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204</xdr:col>
      <xdr:colOff>112126</xdr:colOff>
      <xdr:row>48</xdr:row>
      <xdr:rowOff>10116</xdr:rowOff>
    </xdr:from>
    <xdr:to>
      <xdr:col>206</xdr:col>
      <xdr:colOff>71394</xdr:colOff>
      <xdr:row>50</xdr:row>
      <xdr:rowOff>0</xdr:rowOff>
    </xdr:to>
    <xdr:sp macro="" textlink="">
      <xdr:nvSpPr>
        <xdr:cNvPr id="40" name="Text Box 327">
          <a:extLst>
            <a:ext uri="{FF2B5EF4-FFF2-40B4-BE49-F238E27FC236}">
              <a16:creationId xmlns:a16="http://schemas.microsoft.com/office/drawing/2014/main" id="{CD1533F3-B940-4561-B71B-425FDDA0B296}"/>
            </a:ext>
          </a:extLst>
        </xdr:cNvPr>
        <xdr:cNvSpPr txBox="1">
          <a:spLocks noChangeArrowheads="1"/>
        </xdr:cNvSpPr>
      </xdr:nvSpPr>
      <xdr:spPr bwMode="auto">
        <a:xfrm>
          <a:off x="26187766" y="12750756"/>
          <a:ext cx="584108" cy="52328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159</xdr:col>
      <xdr:colOff>33233</xdr:colOff>
      <xdr:row>66</xdr:row>
      <xdr:rowOff>187697</xdr:rowOff>
    </xdr:from>
    <xdr:ext cx="1000125" cy="554511"/>
    <xdr:sp macro="" textlink="">
      <xdr:nvSpPr>
        <xdr:cNvPr id="41" name="Text Box 327">
          <a:extLst>
            <a:ext uri="{FF2B5EF4-FFF2-40B4-BE49-F238E27FC236}">
              <a16:creationId xmlns:a16="http://schemas.microsoft.com/office/drawing/2014/main" id="{36C3F4A6-C436-4427-AE5E-EF3CCD8A5F8C}"/>
            </a:ext>
          </a:extLst>
        </xdr:cNvPr>
        <xdr:cNvSpPr txBox="1">
          <a:spLocks noChangeArrowheads="1"/>
        </xdr:cNvSpPr>
      </xdr:nvSpPr>
      <xdr:spPr bwMode="auto">
        <a:xfrm flipH="1">
          <a:off x="12049973" y="17843237"/>
          <a:ext cx="1000125" cy="554511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(E5)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4</xdr:col>
      <xdr:colOff>0</xdr:colOff>
      <xdr:row>6</xdr:row>
      <xdr:rowOff>315634</xdr:rowOff>
    </xdr:from>
    <xdr:to>
      <xdr:col>175</xdr:col>
      <xdr:colOff>19237</xdr:colOff>
      <xdr:row>6</xdr:row>
      <xdr:rowOff>332089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C3F5FAC4-37B8-4B02-A9F6-E6479B87FDF7}"/>
            </a:ext>
          </a:extLst>
        </xdr:cNvPr>
        <xdr:cNvCxnSpPr>
          <a:cxnSpLocks/>
          <a:endCxn id="186" idx="3"/>
        </xdr:cNvCxnSpPr>
      </xdr:nvCxnSpPr>
      <xdr:spPr>
        <a:xfrm flipV="1">
          <a:off x="4518660" y="1511974"/>
          <a:ext cx="12516037" cy="16455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15875</xdr:colOff>
      <xdr:row>6</xdr:row>
      <xdr:rowOff>47625</xdr:rowOff>
    </xdr:from>
    <xdr:to>
      <xdr:col>82</xdr:col>
      <xdr:colOff>155575</xdr:colOff>
      <xdr:row>7</xdr:row>
      <xdr:rowOff>172221</xdr:rowOff>
    </xdr:to>
    <xdr:sp macro="" textlink="">
      <xdr:nvSpPr>
        <xdr:cNvPr id="43" name="Text Box 327">
          <a:extLst>
            <a:ext uri="{FF2B5EF4-FFF2-40B4-BE49-F238E27FC236}">
              <a16:creationId xmlns:a16="http://schemas.microsoft.com/office/drawing/2014/main" id="{99D5CF91-4726-4260-91A7-5AD23FAAF2DB}"/>
            </a:ext>
          </a:extLst>
        </xdr:cNvPr>
        <xdr:cNvSpPr txBox="1">
          <a:spLocks noChangeArrowheads="1"/>
        </xdr:cNvSpPr>
      </xdr:nvSpPr>
      <xdr:spPr bwMode="auto">
        <a:xfrm>
          <a:off x="4518660" y="1243965"/>
          <a:ext cx="0" cy="5894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</a:t>
          </a:r>
        </a:p>
      </xdr:txBody>
    </xdr:sp>
    <xdr:clientData/>
  </xdr:twoCellAnchor>
  <xdr:twoCellAnchor>
    <xdr:from>
      <xdr:col>82</xdr:col>
      <xdr:colOff>285750</xdr:colOff>
      <xdr:row>6</xdr:row>
      <xdr:rowOff>63500</xdr:rowOff>
    </xdr:from>
    <xdr:to>
      <xdr:col>87</xdr:col>
      <xdr:colOff>260350</xdr:colOff>
      <xdr:row>7</xdr:row>
      <xdr:rowOff>177800</xdr:rowOff>
    </xdr:to>
    <xdr:sp macro="" textlink="">
      <xdr:nvSpPr>
        <xdr:cNvPr id="44" name="Text Box 327">
          <a:extLst>
            <a:ext uri="{FF2B5EF4-FFF2-40B4-BE49-F238E27FC236}">
              <a16:creationId xmlns:a16="http://schemas.microsoft.com/office/drawing/2014/main" id="{1AD7E5E6-003B-4613-A6FA-795233AD4DC3}"/>
            </a:ext>
          </a:extLst>
        </xdr:cNvPr>
        <xdr:cNvSpPr txBox="1">
          <a:spLocks noChangeArrowheads="1"/>
        </xdr:cNvSpPr>
      </xdr:nvSpPr>
      <xdr:spPr bwMode="auto">
        <a:xfrm>
          <a:off x="4518660" y="1259840"/>
          <a:ext cx="0" cy="5791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２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0</xdr:colOff>
      <xdr:row>6</xdr:row>
      <xdr:rowOff>31750</xdr:rowOff>
    </xdr:from>
    <xdr:to>
      <xdr:col>68</xdr:col>
      <xdr:colOff>294367</xdr:colOff>
      <xdr:row>7</xdr:row>
      <xdr:rowOff>156346</xdr:rowOff>
    </xdr:to>
    <xdr:sp macro="" textlink="">
      <xdr:nvSpPr>
        <xdr:cNvPr id="45" name="Text Box 327">
          <a:extLst>
            <a:ext uri="{FF2B5EF4-FFF2-40B4-BE49-F238E27FC236}">
              <a16:creationId xmlns:a16="http://schemas.microsoft.com/office/drawing/2014/main" id="{CC97283E-418C-4447-988E-C6339FD0F54A}"/>
            </a:ext>
          </a:extLst>
        </xdr:cNvPr>
        <xdr:cNvSpPr txBox="1">
          <a:spLocks noChangeArrowheads="1"/>
        </xdr:cNvSpPr>
      </xdr:nvSpPr>
      <xdr:spPr bwMode="auto">
        <a:xfrm>
          <a:off x="4518660" y="1228090"/>
          <a:ext cx="0" cy="5894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90</xdr:col>
      <xdr:colOff>11907</xdr:colOff>
      <xdr:row>9</xdr:row>
      <xdr:rowOff>95250</xdr:rowOff>
    </xdr:from>
    <xdr:to>
      <xdr:col>90</xdr:col>
      <xdr:colOff>299907</xdr:colOff>
      <xdr:row>10</xdr:row>
      <xdr:rowOff>0</xdr:rowOff>
    </xdr:to>
    <xdr:sp macro="" textlink="">
      <xdr:nvSpPr>
        <xdr:cNvPr id="46" name="Text Box 327">
          <a:extLst>
            <a:ext uri="{FF2B5EF4-FFF2-40B4-BE49-F238E27FC236}">
              <a16:creationId xmlns:a16="http://schemas.microsoft.com/office/drawing/2014/main" id="{624DEA0B-3764-42C3-9894-74F8C9BC4F01}"/>
            </a:ext>
          </a:extLst>
        </xdr:cNvPr>
        <xdr:cNvSpPr txBox="1">
          <a:spLocks noChangeArrowheads="1"/>
        </xdr:cNvSpPr>
      </xdr:nvSpPr>
      <xdr:spPr bwMode="auto">
        <a:xfrm>
          <a:off x="4518660" y="2457450"/>
          <a:ext cx="0" cy="148590"/>
        </a:xfrm>
        <a:prstGeom prst="rect">
          <a:avLst/>
        </a:prstGeom>
        <a:solidFill>
          <a:schemeClr val="accent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</a:t>
          </a:r>
        </a:p>
      </xdr:txBody>
    </xdr:sp>
    <xdr:clientData/>
  </xdr:twoCellAnchor>
  <xdr:twoCellAnchor>
    <xdr:from>
      <xdr:col>157</xdr:col>
      <xdr:colOff>248335</xdr:colOff>
      <xdr:row>5</xdr:row>
      <xdr:rowOff>248529</xdr:rowOff>
    </xdr:from>
    <xdr:to>
      <xdr:col>159</xdr:col>
      <xdr:colOff>104855</xdr:colOff>
      <xdr:row>7</xdr:row>
      <xdr:rowOff>68036</xdr:rowOff>
    </xdr:to>
    <xdr:sp macro="" textlink="">
      <xdr:nvSpPr>
        <xdr:cNvPr id="47" name="Text Box 327">
          <a:extLst>
            <a:ext uri="{FF2B5EF4-FFF2-40B4-BE49-F238E27FC236}">
              <a16:creationId xmlns:a16="http://schemas.microsoft.com/office/drawing/2014/main" id="{5057A4D5-3724-4CD9-9268-278105F0439D}"/>
            </a:ext>
          </a:extLst>
        </xdr:cNvPr>
        <xdr:cNvSpPr txBox="1">
          <a:spLocks noChangeArrowheads="1"/>
        </xdr:cNvSpPr>
      </xdr:nvSpPr>
      <xdr:spPr bwMode="auto">
        <a:xfrm>
          <a:off x="11640235" y="1193409"/>
          <a:ext cx="481360" cy="535787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126</xdr:col>
      <xdr:colOff>311149</xdr:colOff>
      <xdr:row>5</xdr:row>
      <xdr:rowOff>46719</xdr:rowOff>
    </xdr:from>
    <xdr:ext cx="1097024" cy="298864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D19B3AB-D807-48CE-9EBF-17C40C5984B2}"/>
            </a:ext>
          </a:extLst>
        </xdr:cNvPr>
        <xdr:cNvSpPr txBox="1"/>
      </xdr:nvSpPr>
      <xdr:spPr>
        <a:xfrm>
          <a:off x="4518660" y="100683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174</xdr:col>
      <xdr:colOff>5568</xdr:colOff>
      <xdr:row>6</xdr:row>
      <xdr:rowOff>130180</xdr:rowOff>
    </xdr:from>
    <xdr:to>
      <xdr:col>174</xdr:col>
      <xdr:colOff>180391</xdr:colOff>
      <xdr:row>7</xdr:row>
      <xdr:rowOff>66682</xdr:rowOff>
    </xdr:to>
    <xdr:sp macro="" textlink="">
      <xdr:nvSpPr>
        <xdr:cNvPr id="49" name="AutoShape 332">
          <a:extLst>
            <a:ext uri="{FF2B5EF4-FFF2-40B4-BE49-F238E27FC236}">
              <a16:creationId xmlns:a16="http://schemas.microsoft.com/office/drawing/2014/main" id="{642534BC-04DF-4AE7-987D-2AB3EDF14B6C}"/>
            </a:ext>
          </a:extLst>
        </xdr:cNvPr>
        <xdr:cNvSpPr>
          <a:spLocks noChangeArrowheads="1"/>
        </xdr:cNvSpPr>
      </xdr:nvSpPr>
      <xdr:spPr bwMode="auto">
        <a:xfrm rot="5400000">
          <a:off x="16595359" y="1439769"/>
          <a:ext cx="401322" cy="174823"/>
        </a:xfrm>
        <a:prstGeom prst="triangle">
          <a:avLst>
            <a:gd name="adj" fmla="val 50000"/>
          </a:avLst>
        </a:prstGeom>
        <a:noFill/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154</xdr:col>
      <xdr:colOff>254000</xdr:colOff>
      <xdr:row>107</xdr:row>
      <xdr:rowOff>254539</xdr:rowOff>
    </xdr:from>
    <xdr:to>
      <xdr:col>232</xdr:col>
      <xdr:colOff>311150</xdr:colOff>
      <xdr:row>107</xdr:row>
      <xdr:rowOff>254539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6BC44195-E1CD-4D8A-8706-170E24874961}"/>
            </a:ext>
          </a:extLst>
        </xdr:cNvPr>
        <xdr:cNvCxnSpPr>
          <a:cxnSpLocks/>
        </xdr:cNvCxnSpPr>
      </xdr:nvCxnSpPr>
      <xdr:spPr>
        <a:xfrm>
          <a:off x="10708640" y="30627859"/>
          <a:ext cx="2442591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86591</xdr:colOff>
      <xdr:row>106</xdr:row>
      <xdr:rowOff>166255</xdr:rowOff>
    </xdr:from>
    <xdr:to>
      <xdr:col>172</xdr:col>
      <xdr:colOff>11834</xdr:colOff>
      <xdr:row>108</xdr:row>
      <xdr:rowOff>66098</xdr:rowOff>
    </xdr:to>
    <xdr:sp macro="" textlink="">
      <xdr:nvSpPr>
        <xdr:cNvPr id="51" name="Text Box 327">
          <a:extLst>
            <a:ext uri="{FF2B5EF4-FFF2-40B4-BE49-F238E27FC236}">
              <a16:creationId xmlns:a16="http://schemas.microsoft.com/office/drawing/2014/main" id="{1DF5FF20-720F-438B-9AA8-5F4941343238}"/>
            </a:ext>
          </a:extLst>
        </xdr:cNvPr>
        <xdr:cNvSpPr txBox="1">
          <a:spLocks noChangeArrowheads="1"/>
        </xdr:cNvSpPr>
      </xdr:nvSpPr>
      <xdr:spPr bwMode="auto">
        <a:xfrm>
          <a:off x="15227531" y="30303355"/>
          <a:ext cx="862503" cy="60088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K-Ken1</a:t>
          </a:r>
        </a:p>
      </xdr:txBody>
    </xdr:sp>
    <xdr:clientData/>
  </xdr:twoCellAnchor>
  <xdr:twoCellAnchor>
    <xdr:from>
      <xdr:col>232</xdr:col>
      <xdr:colOff>217499</xdr:colOff>
      <xdr:row>106</xdr:row>
      <xdr:rowOff>198382</xdr:rowOff>
    </xdr:from>
    <xdr:to>
      <xdr:col>233</xdr:col>
      <xdr:colOff>204066</xdr:colOff>
      <xdr:row>107</xdr:row>
      <xdr:rowOff>413038</xdr:rowOff>
    </xdr:to>
    <xdr:sp macro="" textlink="">
      <xdr:nvSpPr>
        <xdr:cNvPr id="52" name="AutoShape 332">
          <a:extLst>
            <a:ext uri="{FF2B5EF4-FFF2-40B4-BE49-F238E27FC236}">
              <a16:creationId xmlns:a16="http://schemas.microsoft.com/office/drawing/2014/main" id="{AF45908E-DDFC-4EE8-8F32-926309AC7761}"/>
            </a:ext>
          </a:extLst>
        </xdr:cNvPr>
        <xdr:cNvSpPr>
          <a:spLocks noChangeArrowheads="1"/>
        </xdr:cNvSpPr>
      </xdr:nvSpPr>
      <xdr:spPr bwMode="auto">
        <a:xfrm rot="5400000">
          <a:off x="34964955" y="30411426"/>
          <a:ext cx="450876" cy="2989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159</xdr:col>
      <xdr:colOff>46559</xdr:colOff>
      <xdr:row>14</xdr:row>
      <xdr:rowOff>16782</xdr:rowOff>
    </xdr:from>
    <xdr:to>
      <xdr:col>160</xdr:col>
      <xdr:colOff>294079</xdr:colOff>
      <xdr:row>16</xdr:row>
      <xdr:rowOff>13155</xdr:rowOff>
    </xdr:to>
    <xdr:sp macro="" textlink="">
      <xdr:nvSpPr>
        <xdr:cNvPr id="53" name="Text Box 327">
          <a:extLst>
            <a:ext uri="{FF2B5EF4-FFF2-40B4-BE49-F238E27FC236}">
              <a16:creationId xmlns:a16="http://schemas.microsoft.com/office/drawing/2014/main" id="{07DA1645-BAB4-4662-BBB9-A0F920BF6C90}"/>
            </a:ext>
          </a:extLst>
        </xdr:cNvPr>
        <xdr:cNvSpPr txBox="1">
          <a:spLocks noChangeArrowheads="1"/>
        </xdr:cNvSpPr>
      </xdr:nvSpPr>
      <xdr:spPr bwMode="auto">
        <a:xfrm>
          <a:off x="12063299" y="3689622"/>
          <a:ext cx="559940" cy="52977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154</xdr:col>
      <xdr:colOff>190500</xdr:colOff>
      <xdr:row>13</xdr:row>
      <xdr:rowOff>176893</xdr:rowOff>
    </xdr:from>
    <xdr:to>
      <xdr:col>156</xdr:col>
      <xdr:colOff>34636</xdr:colOff>
      <xdr:row>15</xdr:row>
      <xdr:rowOff>260013</xdr:rowOff>
    </xdr:to>
    <xdr:sp macro="" textlink="">
      <xdr:nvSpPr>
        <xdr:cNvPr id="54" name="Text Box 327">
          <a:extLst>
            <a:ext uri="{FF2B5EF4-FFF2-40B4-BE49-F238E27FC236}">
              <a16:creationId xmlns:a16="http://schemas.microsoft.com/office/drawing/2014/main" id="{567D7EE2-85C6-4205-B996-BAC3998298C1}"/>
            </a:ext>
          </a:extLst>
        </xdr:cNvPr>
        <xdr:cNvSpPr txBox="1">
          <a:spLocks noChangeArrowheads="1"/>
        </xdr:cNvSpPr>
      </xdr:nvSpPr>
      <xdr:spPr bwMode="auto">
        <a:xfrm>
          <a:off x="10645140" y="3583033"/>
          <a:ext cx="468976" cy="616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169</xdr:col>
      <xdr:colOff>51087</xdr:colOff>
      <xdr:row>25</xdr:row>
      <xdr:rowOff>146791</xdr:rowOff>
    </xdr:from>
    <xdr:to>
      <xdr:col>172</xdr:col>
      <xdr:colOff>136982</xdr:colOff>
      <xdr:row>28</xdr:row>
      <xdr:rowOff>0</xdr:rowOff>
    </xdr:to>
    <xdr:sp macro="" textlink="">
      <xdr:nvSpPr>
        <xdr:cNvPr id="55" name="Text Box 327">
          <a:extLst>
            <a:ext uri="{FF2B5EF4-FFF2-40B4-BE49-F238E27FC236}">
              <a16:creationId xmlns:a16="http://schemas.microsoft.com/office/drawing/2014/main" id="{0F6EA86D-91CE-4ADF-B549-57647B3B9763}"/>
            </a:ext>
          </a:extLst>
        </xdr:cNvPr>
        <xdr:cNvSpPr txBox="1">
          <a:spLocks noChangeArrowheads="1"/>
        </xdr:cNvSpPr>
      </xdr:nvSpPr>
      <xdr:spPr bwMode="auto">
        <a:xfrm>
          <a:off x="15192027" y="6753331"/>
          <a:ext cx="1023155" cy="65330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(9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167</xdr:col>
      <xdr:colOff>150091</xdr:colOff>
      <xdr:row>25</xdr:row>
      <xdr:rowOff>138546</xdr:rowOff>
    </xdr:from>
    <xdr:to>
      <xdr:col>169</xdr:col>
      <xdr:colOff>11387</xdr:colOff>
      <xdr:row>28</xdr:row>
      <xdr:rowOff>11065</xdr:rowOff>
    </xdr:to>
    <xdr:sp macro="" textlink="">
      <xdr:nvSpPr>
        <xdr:cNvPr id="56" name="Text Box 327">
          <a:extLst>
            <a:ext uri="{FF2B5EF4-FFF2-40B4-BE49-F238E27FC236}">
              <a16:creationId xmlns:a16="http://schemas.microsoft.com/office/drawing/2014/main" id="{530FC42E-106F-46D0-BB1F-DC1B7AF42860}"/>
            </a:ext>
          </a:extLst>
        </xdr:cNvPr>
        <xdr:cNvSpPr txBox="1">
          <a:spLocks noChangeArrowheads="1"/>
        </xdr:cNvSpPr>
      </xdr:nvSpPr>
      <xdr:spPr bwMode="auto">
        <a:xfrm>
          <a:off x="14666191" y="6745086"/>
          <a:ext cx="486136" cy="67261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(6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169</xdr:col>
      <xdr:colOff>201996</xdr:colOff>
      <xdr:row>36</xdr:row>
      <xdr:rowOff>2940</xdr:rowOff>
    </xdr:from>
    <xdr:to>
      <xdr:col>171</xdr:col>
      <xdr:colOff>124626</xdr:colOff>
      <xdr:row>38</xdr:row>
      <xdr:rowOff>2957</xdr:rowOff>
    </xdr:to>
    <xdr:sp macro="" textlink="">
      <xdr:nvSpPr>
        <xdr:cNvPr id="57" name="Text Box 327">
          <a:extLst>
            <a:ext uri="{FF2B5EF4-FFF2-40B4-BE49-F238E27FC236}">
              <a16:creationId xmlns:a16="http://schemas.microsoft.com/office/drawing/2014/main" id="{A20A3069-15F4-4AA0-998A-EA6F49C0307B}"/>
            </a:ext>
          </a:extLst>
        </xdr:cNvPr>
        <xdr:cNvSpPr txBox="1">
          <a:spLocks noChangeArrowheads="1"/>
        </xdr:cNvSpPr>
      </xdr:nvSpPr>
      <xdr:spPr bwMode="auto">
        <a:xfrm>
          <a:off x="15342936" y="9543180"/>
          <a:ext cx="547470" cy="53341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185</xdr:col>
      <xdr:colOff>211038</xdr:colOff>
      <xdr:row>49</xdr:row>
      <xdr:rowOff>199737</xdr:rowOff>
    </xdr:from>
    <xdr:to>
      <xdr:col>188</xdr:col>
      <xdr:colOff>152400</xdr:colOff>
      <xdr:row>51</xdr:row>
      <xdr:rowOff>213879</xdr:rowOff>
    </xdr:to>
    <xdr:sp macro="" textlink="">
      <xdr:nvSpPr>
        <xdr:cNvPr id="58" name="Text Box 327">
          <a:extLst>
            <a:ext uri="{FF2B5EF4-FFF2-40B4-BE49-F238E27FC236}">
              <a16:creationId xmlns:a16="http://schemas.microsoft.com/office/drawing/2014/main" id="{A1B431D1-D6EB-4B80-BB59-8D0A1431161A}"/>
            </a:ext>
          </a:extLst>
        </xdr:cNvPr>
        <xdr:cNvSpPr txBox="1">
          <a:spLocks noChangeArrowheads="1"/>
        </xdr:cNvSpPr>
      </xdr:nvSpPr>
      <xdr:spPr bwMode="auto">
        <a:xfrm>
          <a:off x="20350698" y="13207077"/>
          <a:ext cx="878622" cy="54754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142</xdr:col>
      <xdr:colOff>311944</xdr:colOff>
      <xdr:row>67</xdr:row>
      <xdr:rowOff>571500</xdr:rowOff>
    </xdr:from>
    <xdr:to>
      <xdr:col>149</xdr:col>
      <xdr:colOff>209550</xdr:colOff>
      <xdr:row>69</xdr:row>
      <xdr:rowOff>121802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9FC9589-B134-465F-B9DA-2C703F53CF2B}"/>
            </a:ext>
          </a:extLst>
        </xdr:cNvPr>
        <xdr:cNvSpPr/>
      </xdr:nvSpPr>
      <xdr:spPr>
        <a:xfrm>
          <a:off x="7017544" y="18463260"/>
          <a:ext cx="2084546" cy="49518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UAE(E6)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170</xdr:col>
      <xdr:colOff>202581</xdr:colOff>
      <xdr:row>67</xdr:row>
      <xdr:rowOff>556161</xdr:rowOff>
    </xdr:from>
    <xdr:ext cx="1000125" cy="483753"/>
    <xdr:sp macro="" textlink="">
      <xdr:nvSpPr>
        <xdr:cNvPr id="60" name="Text Box 327">
          <a:extLst>
            <a:ext uri="{FF2B5EF4-FFF2-40B4-BE49-F238E27FC236}">
              <a16:creationId xmlns:a16="http://schemas.microsoft.com/office/drawing/2014/main" id="{17670916-082D-47A9-8383-389DDFEBE99C}"/>
            </a:ext>
          </a:extLst>
        </xdr:cNvPr>
        <xdr:cNvSpPr txBox="1">
          <a:spLocks noChangeArrowheads="1"/>
        </xdr:cNvSpPr>
      </xdr:nvSpPr>
      <xdr:spPr bwMode="auto">
        <a:xfrm flipH="1">
          <a:off x="15655941" y="18447921"/>
          <a:ext cx="1000125" cy="483753"/>
        </a:xfrm>
        <a:prstGeom prst="parallelogram">
          <a:avLst>
            <a:gd name="adj" fmla="val 0"/>
          </a:avLst>
        </a:prstGeom>
        <a:solidFill>
          <a:schemeClr val="bg1">
            <a:lumMod val="85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(E6)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195</xdr:col>
      <xdr:colOff>150956</xdr:colOff>
      <xdr:row>67</xdr:row>
      <xdr:rowOff>454170</xdr:rowOff>
    </xdr:from>
    <xdr:to>
      <xdr:col>197</xdr:col>
      <xdr:colOff>100939</xdr:colOff>
      <xdr:row>69</xdr:row>
      <xdr:rowOff>50163</xdr:rowOff>
    </xdr:to>
    <xdr:sp macro="" textlink="">
      <xdr:nvSpPr>
        <xdr:cNvPr id="61" name="テキスト ボックス 1611">
          <a:extLst>
            <a:ext uri="{FF2B5EF4-FFF2-40B4-BE49-F238E27FC236}">
              <a16:creationId xmlns:a16="http://schemas.microsoft.com/office/drawing/2014/main" id="{CB1239F5-9E7D-416C-9609-75379E007C5B}"/>
            </a:ext>
          </a:extLst>
        </xdr:cNvPr>
        <xdr:cNvSpPr txBox="1">
          <a:spLocks noChangeAspect="1"/>
        </xdr:cNvSpPr>
      </xdr:nvSpPr>
      <xdr:spPr>
        <a:xfrm>
          <a:off x="23414816" y="18345930"/>
          <a:ext cx="574823" cy="54087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148</xdr:col>
      <xdr:colOff>285750</xdr:colOff>
      <xdr:row>102</xdr:row>
      <xdr:rowOff>220481</xdr:rowOff>
    </xdr:from>
    <xdr:to>
      <xdr:col>260</xdr:col>
      <xdr:colOff>0</xdr:colOff>
      <xdr:row>102</xdr:row>
      <xdr:rowOff>220481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653C8E4F-239A-43E8-A5EB-995FF5BD428B}"/>
            </a:ext>
          </a:extLst>
        </xdr:cNvPr>
        <xdr:cNvCxnSpPr>
          <a:cxnSpLocks/>
        </xdr:cNvCxnSpPr>
      </xdr:nvCxnSpPr>
      <xdr:spPr>
        <a:xfrm>
          <a:off x="8865870" y="29168861"/>
          <a:ext cx="3470529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193387</xdr:colOff>
      <xdr:row>106</xdr:row>
      <xdr:rowOff>202622</xdr:rowOff>
    </xdr:from>
    <xdr:to>
      <xdr:col>203</xdr:col>
      <xdr:colOff>275936</xdr:colOff>
      <xdr:row>108</xdr:row>
      <xdr:rowOff>31498</xdr:rowOff>
    </xdr:to>
    <xdr:sp macro="" textlink="">
      <xdr:nvSpPr>
        <xdr:cNvPr id="63" name="Text Box 327">
          <a:extLst>
            <a:ext uri="{FF2B5EF4-FFF2-40B4-BE49-F238E27FC236}">
              <a16:creationId xmlns:a16="http://schemas.microsoft.com/office/drawing/2014/main" id="{90F6ED40-262E-43BA-9471-10601F12C94B}"/>
            </a:ext>
          </a:extLst>
        </xdr:cNvPr>
        <xdr:cNvSpPr txBox="1">
          <a:spLocks noChangeArrowheads="1"/>
        </xdr:cNvSpPr>
      </xdr:nvSpPr>
      <xdr:spPr bwMode="auto">
        <a:xfrm>
          <a:off x="25331767" y="30339722"/>
          <a:ext cx="707389" cy="529916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159</xdr:col>
      <xdr:colOff>30024</xdr:colOff>
      <xdr:row>41</xdr:row>
      <xdr:rowOff>44337</xdr:rowOff>
    </xdr:from>
    <xdr:to>
      <xdr:col>161</xdr:col>
      <xdr:colOff>292255</xdr:colOff>
      <xdr:row>42</xdr:row>
      <xdr:rowOff>243034</xdr:rowOff>
    </xdr:to>
    <xdr:sp macro="" textlink="">
      <xdr:nvSpPr>
        <xdr:cNvPr id="64" name="Text Box 327">
          <a:extLst>
            <a:ext uri="{FF2B5EF4-FFF2-40B4-BE49-F238E27FC236}">
              <a16:creationId xmlns:a16="http://schemas.microsoft.com/office/drawing/2014/main" id="{3C56DD90-0B68-446C-AA26-63003422AD9D}"/>
            </a:ext>
          </a:extLst>
        </xdr:cNvPr>
        <xdr:cNvSpPr txBox="1">
          <a:spLocks noChangeArrowheads="1"/>
        </xdr:cNvSpPr>
      </xdr:nvSpPr>
      <xdr:spPr bwMode="auto">
        <a:xfrm>
          <a:off x="12046764" y="10918077"/>
          <a:ext cx="887071" cy="46539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149</xdr:col>
      <xdr:colOff>277093</xdr:colOff>
      <xdr:row>35</xdr:row>
      <xdr:rowOff>11545</xdr:rowOff>
    </xdr:from>
    <xdr:to>
      <xdr:col>151</xdr:col>
      <xdr:colOff>312637</xdr:colOff>
      <xdr:row>37</xdr:row>
      <xdr:rowOff>263203</xdr:rowOff>
    </xdr:to>
    <xdr:sp macro="" textlink="">
      <xdr:nvSpPr>
        <xdr:cNvPr id="65" name="Text Box 327">
          <a:extLst>
            <a:ext uri="{FF2B5EF4-FFF2-40B4-BE49-F238E27FC236}">
              <a16:creationId xmlns:a16="http://schemas.microsoft.com/office/drawing/2014/main" id="{C0DD3BC3-F119-4075-BAEF-6E7BBF251C3B}"/>
            </a:ext>
          </a:extLst>
        </xdr:cNvPr>
        <xdr:cNvSpPr txBox="1">
          <a:spLocks noChangeArrowheads="1"/>
        </xdr:cNvSpPr>
      </xdr:nvSpPr>
      <xdr:spPr bwMode="auto">
        <a:xfrm>
          <a:off x="9169633" y="9285085"/>
          <a:ext cx="660384" cy="78505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高型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NPS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173</xdr:col>
      <xdr:colOff>11900</xdr:colOff>
      <xdr:row>1</xdr:row>
      <xdr:rowOff>96172</xdr:rowOff>
    </xdr:from>
    <xdr:to>
      <xdr:col>175</xdr:col>
      <xdr:colOff>264533</xdr:colOff>
      <xdr:row>179</xdr:row>
      <xdr:rowOff>96174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0EED230E-4DBE-40F4-968E-AB22C5FB7BA0}"/>
            </a:ext>
          </a:extLst>
        </xdr:cNvPr>
        <xdr:cNvGrpSpPr/>
      </xdr:nvGrpSpPr>
      <xdr:grpSpPr>
        <a:xfrm>
          <a:off x="16381392" y="92362"/>
          <a:ext cx="872277" cy="48629457"/>
          <a:chOff x="37696587" y="302559"/>
          <a:chExt cx="605118" cy="61671571"/>
        </a:xfrm>
      </xdr:grpSpPr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963F396E-A384-3A91-7011-4B97D9C064A0}"/>
              </a:ext>
            </a:extLst>
          </xdr:cNvPr>
          <xdr:cNvSpPr txBox="1"/>
        </xdr:nvSpPr>
        <xdr:spPr>
          <a:xfrm>
            <a:off x="37696587" y="302559"/>
            <a:ext cx="605118" cy="4623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="1">
                <a:solidFill>
                  <a:srgbClr val="FF0000"/>
                </a:solidFill>
              </a:rPr>
              <a:t>Now</a:t>
            </a:r>
            <a:endParaRPr kumimoji="1" lang="ja-JP" altLang="en-US" sz="2000" b="1">
              <a:solidFill>
                <a:srgbClr val="FF0000"/>
              </a:solidFill>
            </a:endParaRPr>
          </a:p>
        </xdr:txBody>
      </xdr: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1C79420A-9357-A84D-C862-1FE453128B90}"/>
              </a:ext>
            </a:extLst>
          </xdr:cNvPr>
          <xdr:cNvCxnSpPr/>
        </xdr:nvCxnSpPr>
        <xdr:spPr>
          <a:xfrm>
            <a:off x="37901890" y="519351"/>
            <a:ext cx="0" cy="61454779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161</xdr:col>
      <xdr:colOff>23199</xdr:colOff>
      <xdr:row>5</xdr:row>
      <xdr:rowOff>248529</xdr:rowOff>
    </xdr:from>
    <xdr:to>
      <xdr:col>162</xdr:col>
      <xdr:colOff>205589</xdr:colOff>
      <xdr:row>7</xdr:row>
      <xdr:rowOff>64861</xdr:rowOff>
    </xdr:to>
    <xdr:sp macro="" textlink="">
      <xdr:nvSpPr>
        <xdr:cNvPr id="69" name="Text Box 327">
          <a:extLst>
            <a:ext uri="{FF2B5EF4-FFF2-40B4-BE49-F238E27FC236}">
              <a16:creationId xmlns:a16="http://schemas.microsoft.com/office/drawing/2014/main" id="{B6814A33-1F00-4827-B089-33F88047F85A}"/>
            </a:ext>
          </a:extLst>
        </xdr:cNvPr>
        <xdr:cNvSpPr txBox="1">
          <a:spLocks noChangeArrowheads="1"/>
        </xdr:cNvSpPr>
      </xdr:nvSpPr>
      <xdr:spPr bwMode="auto">
        <a:xfrm>
          <a:off x="12664779" y="1193409"/>
          <a:ext cx="494810" cy="532612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排ガス評価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161</xdr:col>
      <xdr:colOff>10885</xdr:colOff>
      <xdr:row>13</xdr:row>
      <xdr:rowOff>249135</xdr:rowOff>
    </xdr:from>
    <xdr:to>
      <xdr:col>162</xdr:col>
      <xdr:colOff>249381</xdr:colOff>
      <xdr:row>16</xdr:row>
      <xdr:rowOff>65555</xdr:rowOff>
    </xdr:to>
    <xdr:sp macro="" textlink="">
      <xdr:nvSpPr>
        <xdr:cNvPr id="70" name="Text Box 327">
          <a:extLst>
            <a:ext uri="{FF2B5EF4-FFF2-40B4-BE49-F238E27FC236}">
              <a16:creationId xmlns:a16="http://schemas.microsoft.com/office/drawing/2014/main" id="{F8A90418-CF9B-4C5E-88C7-E71AB4FD9361}"/>
            </a:ext>
          </a:extLst>
        </xdr:cNvPr>
        <xdr:cNvSpPr txBox="1">
          <a:spLocks noChangeArrowheads="1"/>
        </xdr:cNvSpPr>
      </xdr:nvSpPr>
      <xdr:spPr bwMode="auto">
        <a:xfrm>
          <a:off x="12652465" y="3655275"/>
          <a:ext cx="550916" cy="616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(3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138</xdr:col>
      <xdr:colOff>266204</xdr:colOff>
      <xdr:row>129</xdr:row>
      <xdr:rowOff>1912</xdr:rowOff>
    </xdr:from>
    <xdr:to>
      <xdr:col>194</xdr:col>
      <xdr:colOff>125606</xdr:colOff>
      <xdr:row>129</xdr:row>
      <xdr:rowOff>1912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9C1D7A7E-ABC2-4817-A3AC-9804B488D341}"/>
            </a:ext>
          </a:extLst>
        </xdr:cNvPr>
        <xdr:cNvCxnSpPr>
          <a:stCxn id="72" idx="3"/>
        </xdr:cNvCxnSpPr>
      </xdr:nvCxnSpPr>
      <xdr:spPr>
        <a:xfrm flipH="1">
          <a:off x="5722124" y="36516952"/>
          <a:ext cx="17354922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194</xdr:col>
      <xdr:colOff>125605</xdr:colOff>
      <xdr:row>128</xdr:row>
      <xdr:rowOff>7</xdr:rowOff>
    </xdr:from>
    <xdr:ext cx="332509" cy="471054"/>
    <xdr:sp macro="" textlink="">
      <xdr:nvSpPr>
        <xdr:cNvPr id="72" name="AutoShape 332">
          <a:extLst>
            <a:ext uri="{FF2B5EF4-FFF2-40B4-BE49-F238E27FC236}">
              <a16:creationId xmlns:a16="http://schemas.microsoft.com/office/drawing/2014/main" id="{5B888218-D719-46A0-94F9-2072DD212CF8}"/>
            </a:ext>
          </a:extLst>
        </xdr:cNvPr>
        <xdr:cNvSpPr>
          <a:spLocks noChangeArrowheads="1"/>
        </xdr:cNvSpPr>
      </xdr:nvSpPr>
      <xdr:spPr bwMode="auto">
        <a:xfrm rot="5400000">
          <a:off x="23007773" y="36348099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169</xdr:col>
      <xdr:colOff>39833</xdr:colOff>
      <xdr:row>127</xdr:row>
      <xdr:rowOff>344459</xdr:rowOff>
    </xdr:from>
    <xdr:to>
      <xdr:col>172</xdr:col>
      <xdr:colOff>199653</xdr:colOff>
      <xdr:row>130</xdr:row>
      <xdr:rowOff>1</xdr:rowOff>
    </xdr:to>
    <xdr:sp macro="" textlink="">
      <xdr:nvSpPr>
        <xdr:cNvPr id="73" name="Text Box 327">
          <a:extLst>
            <a:ext uri="{FF2B5EF4-FFF2-40B4-BE49-F238E27FC236}">
              <a16:creationId xmlns:a16="http://schemas.microsoft.com/office/drawing/2014/main" id="{7F46B458-02D2-4570-A046-63A34F826979}"/>
            </a:ext>
          </a:extLst>
        </xdr:cNvPr>
        <xdr:cNvSpPr txBox="1">
          <a:spLocks noChangeArrowheads="1"/>
        </xdr:cNvSpPr>
      </xdr:nvSpPr>
      <xdr:spPr bwMode="auto">
        <a:xfrm>
          <a:off x="15180773" y="36280379"/>
          <a:ext cx="1097080" cy="470882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 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178</xdr:col>
      <xdr:colOff>9763</xdr:colOff>
      <xdr:row>128</xdr:row>
      <xdr:rowOff>17318</xdr:rowOff>
    </xdr:from>
    <xdr:to>
      <xdr:col>180</xdr:col>
      <xdr:colOff>32332</xdr:colOff>
      <xdr:row>130</xdr:row>
      <xdr:rowOff>17318</xdr:rowOff>
    </xdr:to>
    <xdr:sp macro="" textlink="">
      <xdr:nvSpPr>
        <xdr:cNvPr id="74" name="Text Box 327">
          <a:extLst>
            <a:ext uri="{FF2B5EF4-FFF2-40B4-BE49-F238E27FC236}">
              <a16:creationId xmlns:a16="http://schemas.microsoft.com/office/drawing/2014/main" id="{FAC9D859-C793-4AD5-9040-D8B0A28DBF2F}"/>
            </a:ext>
          </a:extLst>
        </xdr:cNvPr>
        <xdr:cNvSpPr txBox="1">
          <a:spLocks noChangeArrowheads="1"/>
        </xdr:cNvSpPr>
      </xdr:nvSpPr>
      <xdr:spPr bwMode="auto">
        <a:xfrm>
          <a:off x="17962483" y="36296138"/>
          <a:ext cx="647409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136</xdr:col>
      <xdr:colOff>283029</xdr:colOff>
      <xdr:row>135</xdr:row>
      <xdr:rowOff>235531</xdr:rowOff>
    </xdr:from>
    <xdr:to>
      <xdr:col>194</xdr:col>
      <xdr:colOff>156823</xdr:colOff>
      <xdr:row>136</xdr:row>
      <xdr:rowOff>3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54B43CC4-138B-4AC2-A166-841E9C146377}"/>
            </a:ext>
          </a:extLst>
        </xdr:cNvPr>
        <xdr:cNvCxnSpPr>
          <a:stCxn id="76" idx="3"/>
        </xdr:cNvCxnSpPr>
      </xdr:nvCxnSpPr>
      <xdr:spPr>
        <a:xfrm flipH="1">
          <a:off x="5114109" y="38228851"/>
          <a:ext cx="17994154" cy="692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194</xdr:col>
      <xdr:colOff>156822</xdr:colOff>
      <xdr:row>135</xdr:row>
      <xdr:rowOff>4</xdr:rowOff>
    </xdr:from>
    <xdr:ext cx="332509" cy="471054"/>
    <xdr:sp macro="" textlink="">
      <xdr:nvSpPr>
        <xdr:cNvPr id="76" name="AutoShape 332">
          <a:extLst>
            <a:ext uri="{FF2B5EF4-FFF2-40B4-BE49-F238E27FC236}">
              <a16:creationId xmlns:a16="http://schemas.microsoft.com/office/drawing/2014/main" id="{C7DC01BD-2188-4EB4-92AD-3DE1751F242C}"/>
            </a:ext>
          </a:extLst>
        </xdr:cNvPr>
        <xdr:cNvSpPr>
          <a:spLocks noChangeArrowheads="1"/>
        </xdr:cNvSpPr>
      </xdr:nvSpPr>
      <xdr:spPr bwMode="auto">
        <a:xfrm rot="5400000">
          <a:off x="23038990" y="38062596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4</xdr:col>
      <xdr:colOff>0</xdr:colOff>
      <xdr:row>142</xdr:row>
      <xdr:rowOff>2309</xdr:rowOff>
    </xdr:from>
    <xdr:to>
      <xdr:col>179</xdr:col>
      <xdr:colOff>169527</xdr:colOff>
      <xdr:row>142</xdr:row>
      <xdr:rowOff>10142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B60C0CBE-E930-4BE8-A827-E584169D8CCB}"/>
            </a:ext>
          </a:extLst>
        </xdr:cNvPr>
        <xdr:cNvCxnSpPr>
          <a:cxnSpLocks/>
          <a:stCxn id="196" idx="1"/>
        </xdr:cNvCxnSpPr>
      </xdr:nvCxnSpPr>
      <xdr:spPr>
        <a:xfrm flipH="1" flipV="1">
          <a:off x="4518660" y="39664409"/>
          <a:ext cx="13916007" cy="7833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325333</xdr:colOff>
      <xdr:row>127</xdr:row>
      <xdr:rowOff>96180</xdr:rowOff>
    </xdr:from>
    <xdr:to>
      <xdr:col>154</xdr:col>
      <xdr:colOff>269256</xdr:colOff>
      <xdr:row>128</xdr:row>
      <xdr:rowOff>220641</xdr:rowOff>
    </xdr:to>
    <xdr:sp macro="" textlink="">
      <xdr:nvSpPr>
        <xdr:cNvPr id="78" name="Text Box 327">
          <a:extLst>
            <a:ext uri="{FF2B5EF4-FFF2-40B4-BE49-F238E27FC236}">
              <a16:creationId xmlns:a16="http://schemas.microsoft.com/office/drawing/2014/main" id="{F56608AC-BA2A-4407-8D93-5E9450FDFC54}"/>
            </a:ext>
          </a:extLst>
        </xdr:cNvPr>
        <xdr:cNvSpPr txBox="1">
          <a:spLocks noChangeArrowheads="1"/>
        </xdr:cNvSpPr>
      </xdr:nvSpPr>
      <xdr:spPr bwMode="auto">
        <a:xfrm>
          <a:off x="9827473" y="36032100"/>
          <a:ext cx="896423" cy="467361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153</xdr:col>
      <xdr:colOff>8214</xdr:colOff>
      <xdr:row>133</xdr:row>
      <xdr:rowOff>299356</xdr:rowOff>
    </xdr:from>
    <xdr:to>
      <xdr:col>155</xdr:col>
      <xdr:colOff>108856</xdr:colOff>
      <xdr:row>135</xdr:row>
      <xdr:rowOff>237957</xdr:rowOff>
    </xdr:to>
    <xdr:sp macro="" textlink="">
      <xdr:nvSpPr>
        <xdr:cNvPr id="79" name="Text Box 327">
          <a:extLst>
            <a:ext uri="{FF2B5EF4-FFF2-40B4-BE49-F238E27FC236}">
              <a16:creationId xmlns:a16="http://schemas.microsoft.com/office/drawing/2014/main" id="{90019A66-745E-4FBF-A1E7-7B5D118F0E40}"/>
            </a:ext>
          </a:extLst>
        </xdr:cNvPr>
        <xdr:cNvSpPr txBox="1">
          <a:spLocks noChangeArrowheads="1"/>
        </xdr:cNvSpPr>
      </xdr:nvSpPr>
      <xdr:spPr bwMode="auto">
        <a:xfrm>
          <a:off x="10150434" y="37759276"/>
          <a:ext cx="725482" cy="472001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171</xdr:col>
      <xdr:colOff>23049</xdr:colOff>
      <xdr:row>140</xdr:row>
      <xdr:rowOff>233258</xdr:rowOff>
    </xdr:from>
    <xdr:to>
      <xdr:col>172</xdr:col>
      <xdr:colOff>317210</xdr:colOff>
      <xdr:row>142</xdr:row>
      <xdr:rowOff>233258</xdr:rowOff>
    </xdr:to>
    <xdr:sp macro="" textlink="">
      <xdr:nvSpPr>
        <xdr:cNvPr id="80" name="Text Box 327">
          <a:extLst>
            <a:ext uri="{FF2B5EF4-FFF2-40B4-BE49-F238E27FC236}">
              <a16:creationId xmlns:a16="http://schemas.microsoft.com/office/drawing/2014/main" id="{FB6DFAC6-C881-4F50-B5F4-6593427C24F6}"/>
            </a:ext>
          </a:extLst>
        </xdr:cNvPr>
        <xdr:cNvSpPr txBox="1">
          <a:spLocks noChangeArrowheads="1"/>
        </xdr:cNvSpPr>
      </xdr:nvSpPr>
      <xdr:spPr bwMode="auto">
        <a:xfrm>
          <a:off x="15788829" y="39422918"/>
          <a:ext cx="598961" cy="472440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121</xdr:col>
      <xdr:colOff>69273</xdr:colOff>
      <xdr:row>149</xdr:row>
      <xdr:rowOff>0</xdr:rowOff>
    </xdr:from>
    <xdr:to>
      <xdr:col>212</xdr:col>
      <xdr:colOff>235324</xdr:colOff>
      <xdr:row>149</xdr:row>
      <xdr:rowOff>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05E08A80-EFA1-4D8F-8742-F315EE2EB30F}"/>
            </a:ext>
          </a:extLst>
        </xdr:cNvPr>
        <xdr:cNvCxnSpPr>
          <a:cxnSpLocks/>
        </xdr:cNvCxnSpPr>
      </xdr:nvCxnSpPr>
      <xdr:spPr>
        <a:xfrm flipH="1">
          <a:off x="4518660" y="41330880"/>
          <a:ext cx="24291664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89482</xdr:colOff>
      <xdr:row>128</xdr:row>
      <xdr:rowOff>0</xdr:rowOff>
    </xdr:from>
    <xdr:to>
      <xdr:col>187</xdr:col>
      <xdr:colOff>101925</xdr:colOff>
      <xdr:row>130</xdr:row>
      <xdr:rowOff>0</xdr:rowOff>
    </xdr:to>
    <xdr:sp macro="" textlink="">
      <xdr:nvSpPr>
        <xdr:cNvPr id="82" name="Text Box 327">
          <a:extLst>
            <a:ext uri="{FF2B5EF4-FFF2-40B4-BE49-F238E27FC236}">
              <a16:creationId xmlns:a16="http://schemas.microsoft.com/office/drawing/2014/main" id="{495ED190-B918-45C0-B821-32C708C50A78}"/>
            </a:ext>
          </a:extLst>
        </xdr:cNvPr>
        <xdr:cNvSpPr txBox="1">
          <a:spLocks noChangeArrowheads="1"/>
        </xdr:cNvSpPr>
      </xdr:nvSpPr>
      <xdr:spPr bwMode="auto">
        <a:xfrm>
          <a:off x="20229142" y="36278820"/>
          <a:ext cx="637283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199</xdr:col>
      <xdr:colOff>157941</xdr:colOff>
      <xdr:row>127</xdr:row>
      <xdr:rowOff>332514</xdr:rowOff>
    </xdr:from>
    <xdr:ext cx="332509" cy="471054"/>
    <xdr:sp macro="" textlink="">
      <xdr:nvSpPr>
        <xdr:cNvPr id="83" name="AutoShape 332">
          <a:extLst>
            <a:ext uri="{FF2B5EF4-FFF2-40B4-BE49-F238E27FC236}">
              <a16:creationId xmlns:a16="http://schemas.microsoft.com/office/drawing/2014/main" id="{2CC39C89-40DD-46DE-9D33-35E5CDD847C9}"/>
            </a:ext>
          </a:extLst>
        </xdr:cNvPr>
        <xdr:cNvSpPr>
          <a:spLocks noChangeArrowheads="1"/>
        </xdr:cNvSpPr>
      </xdr:nvSpPr>
      <xdr:spPr bwMode="auto">
        <a:xfrm rot="5400000">
          <a:off x="24602209" y="36337706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179</xdr:col>
      <xdr:colOff>9204</xdr:colOff>
      <xdr:row>135</xdr:row>
      <xdr:rowOff>0</xdr:rowOff>
    </xdr:from>
    <xdr:to>
      <xdr:col>181</xdr:col>
      <xdr:colOff>28054</xdr:colOff>
      <xdr:row>137</xdr:row>
      <xdr:rowOff>0</xdr:rowOff>
    </xdr:to>
    <xdr:sp macro="" textlink="">
      <xdr:nvSpPr>
        <xdr:cNvPr id="84" name="Text Box 327">
          <a:extLst>
            <a:ext uri="{FF2B5EF4-FFF2-40B4-BE49-F238E27FC236}">
              <a16:creationId xmlns:a16="http://schemas.microsoft.com/office/drawing/2014/main" id="{AAB4286A-0362-405F-BEA9-9AA00317E1D8}"/>
            </a:ext>
          </a:extLst>
        </xdr:cNvPr>
        <xdr:cNvSpPr txBox="1">
          <a:spLocks noChangeArrowheads="1"/>
        </xdr:cNvSpPr>
      </xdr:nvSpPr>
      <xdr:spPr bwMode="auto">
        <a:xfrm>
          <a:off x="18274344" y="37993320"/>
          <a:ext cx="643690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185</xdr:col>
      <xdr:colOff>93327</xdr:colOff>
      <xdr:row>134</xdr:row>
      <xdr:rowOff>221672</xdr:rowOff>
    </xdr:from>
    <xdr:to>
      <xdr:col>187</xdr:col>
      <xdr:colOff>130629</xdr:colOff>
      <xdr:row>136</xdr:row>
      <xdr:rowOff>190498</xdr:rowOff>
    </xdr:to>
    <xdr:sp macro="" textlink="">
      <xdr:nvSpPr>
        <xdr:cNvPr id="85" name="Text Box 327">
          <a:extLst>
            <a:ext uri="{FF2B5EF4-FFF2-40B4-BE49-F238E27FC236}">
              <a16:creationId xmlns:a16="http://schemas.microsoft.com/office/drawing/2014/main" id="{F197A27B-9F24-4D97-BF93-E0947483873F}"/>
            </a:ext>
          </a:extLst>
        </xdr:cNvPr>
        <xdr:cNvSpPr txBox="1">
          <a:spLocks noChangeArrowheads="1"/>
        </xdr:cNvSpPr>
      </xdr:nvSpPr>
      <xdr:spPr bwMode="auto">
        <a:xfrm>
          <a:off x="20232987" y="37978772"/>
          <a:ext cx="662142" cy="44126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185</xdr:col>
      <xdr:colOff>204967</xdr:colOff>
      <xdr:row>148</xdr:row>
      <xdr:rowOff>1369</xdr:rowOff>
    </xdr:from>
    <xdr:to>
      <xdr:col>188</xdr:col>
      <xdr:colOff>13855</xdr:colOff>
      <xdr:row>150</xdr:row>
      <xdr:rowOff>1370</xdr:rowOff>
    </xdr:to>
    <xdr:sp macro="" textlink="">
      <xdr:nvSpPr>
        <xdr:cNvPr id="86" name="Text Box 327">
          <a:extLst>
            <a:ext uri="{FF2B5EF4-FFF2-40B4-BE49-F238E27FC236}">
              <a16:creationId xmlns:a16="http://schemas.microsoft.com/office/drawing/2014/main" id="{9632A5E7-DA4F-4F14-854F-57C66EA91862}"/>
            </a:ext>
          </a:extLst>
        </xdr:cNvPr>
        <xdr:cNvSpPr txBox="1">
          <a:spLocks noChangeArrowheads="1"/>
        </xdr:cNvSpPr>
      </xdr:nvSpPr>
      <xdr:spPr bwMode="auto">
        <a:xfrm>
          <a:off x="20344627" y="41096029"/>
          <a:ext cx="746148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oneCellAnchor>
    <xdr:from>
      <xdr:col>212</xdr:col>
      <xdr:colOff>246530</xdr:colOff>
      <xdr:row>148</xdr:row>
      <xdr:rowOff>0</xdr:rowOff>
    </xdr:from>
    <xdr:ext cx="278946" cy="471054"/>
    <xdr:sp macro="" textlink="">
      <xdr:nvSpPr>
        <xdr:cNvPr id="87" name="AutoShape 332">
          <a:extLst>
            <a:ext uri="{FF2B5EF4-FFF2-40B4-BE49-F238E27FC236}">
              <a16:creationId xmlns:a16="http://schemas.microsoft.com/office/drawing/2014/main" id="{CC17ADD3-1255-42D2-B4A0-E70317CA2950}"/>
            </a:ext>
          </a:extLst>
        </xdr:cNvPr>
        <xdr:cNvSpPr>
          <a:spLocks noChangeArrowheads="1"/>
        </xdr:cNvSpPr>
      </xdr:nvSpPr>
      <xdr:spPr bwMode="auto">
        <a:xfrm rot="5400000">
          <a:off x="28725476" y="41190714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200</xdr:col>
      <xdr:colOff>157940</xdr:colOff>
      <xdr:row>135</xdr:row>
      <xdr:rowOff>13857</xdr:rowOff>
    </xdr:from>
    <xdr:ext cx="332509" cy="471054"/>
    <xdr:sp macro="" textlink="">
      <xdr:nvSpPr>
        <xdr:cNvPr id="88" name="AutoShape 332">
          <a:extLst>
            <a:ext uri="{FF2B5EF4-FFF2-40B4-BE49-F238E27FC236}">
              <a16:creationId xmlns:a16="http://schemas.microsoft.com/office/drawing/2014/main" id="{0A95A2C3-71A1-40FA-B821-D303248B20FB}"/>
            </a:ext>
          </a:extLst>
        </xdr:cNvPr>
        <xdr:cNvSpPr>
          <a:spLocks noChangeArrowheads="1"/>
        </xdr:cNvSpPr>
      </xdr:nvSpPr>
      <xdr:spPr bwMode="auto">
        <a:xfrm rot="5400000">
          <a:off x="24914628" y="38076449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171</xdr:col>
      <xdr:colOff>234536</xdr:colOff>
      <xdr:row>135</xdr:row>
      <xdr:rowOff>0</xdr:rowOff>
    </xdr:from>
    <xdr:to>
      <xdr:col>174</xdr:col>
      <xdr:colOff>170706</xdr:colOff>
      <xdr:row>137</xdr:row>
      <xdr:rowOff>0</xdr:rowOff>
    </xdr:to>
    <xdr:sp macro="" textlink="">
      <xdr:nvSpPr>
        <xdr:cNvPr id="89" name="Text Box 327">
          <a:extLst>
            <a:ext uri="{FF2B5EF4-FFF2-40B4-BE49-F238E27FC236}">
              <a16:creationId xmlns:a16="http://schemas.microsoft.com/office/drawing/2014/main" id="{1221FD5F-E538-4925-B4AB-BEEA33A4B955}"/>
            </a:ext>
          </a:extLst>
        </xdr:cNvPr>
        <xdr:cNvSpPr txBox="1">
          <a:spLocks noChangeArrowheads="1"/>
        </xdr:cNvSpPr>
      </xdr:nvSpPr>
      <xdr:spPr bwMode="auto">
        <a:xfrm>
          <a:off x="16000316" y="37993320"/>
          <a:ext cx="873430" cy="472440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 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107663</xdr:colOff>
      <xdr:row>157</xdr:row>
      <xdr:rowOff>3174</xdr:rowOff>
    </xdr:from>
    <xdr:to>
      <xdr:col>212</xdr:col>
      <xdr:colOff>257653</xdr:colOff>
      <xdr:row>157</xdr:row>
      <xdr:rowOff>3174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BFF6D0CE-D421-48F7-BBCE-E26CC2BD71B6}"/>
            </a:ext>
          </a:extLst>
        </xdr:cNvPr>
        <xdr:cNvCxnSpPr>
          <a:cxnSpLocks/>
          <a:stCxn id="91" idx="3"/>
        </xdr:cNvCxnSpPr>
      </xdr:nvCxnSpPr>
      <xdr:spPr>
        <a:xfrm flipH="1">
          <a:off x="4518660" y="43239054"/>
          <a:ext cx="24313993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212</xdr:col>
      <xdr:colOff>254478</xdr:colOff>
      <xdr:row>156</xdr:row>
      <xdr:rowOff>0</xdr:rowOff>
    </xdr:from>
    <xdr:ext cx="278946" cy="471054"/>
    <xdr:sp macro="" textlink="">
      <xdr:nvSpPr>
        <xdr:cNvPr id="91" name="AutoShape 332">
          <a:extLst>
            <a:ext uri="{FF2B5EF4-FFF2-40B4-BE49-F238E27FC236}">
              <a16:creationId xmlns:a16="http://schemas.microsoft.com/office/drawing/2014/main" id="{FD767917-9FAA-40A1-8A3A-DF3F51D9861F}"/>
            </a:ext>
          </a:extLst>
        </xdr:cNvPr>
        <xdr:cNvSpPr>
          <a:spLocks noChangeArrowheads="1"/>
        </xdr:cNvSpPr>
      </xdr:nvSpPr>
      <xdr:spPr bwMode="auto">
        <a:xfrm rot="5400000">
          <a:off x="28733424" y="43095714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194</xdr:col>
      <xdr:colOff>61474</xdr:colOff>
      <xdr:row>156</xdr:row>
      <xdr:rowOff>0</xdr:rowOff>
    </xdr:from>
    <xdr:to>
      <xdr:col>196</xdr:col>
      <xdr:colOff>36981</xdr:colOff>
      <xdr:row>157</xdr:row>
      <xdr:rowOff>233722</xdr:rowOff>
    </xdr:to>
    <xdr:sp macro="" textlink="">
      <xdr:nvSpPr>
        <xdr:cNvPr id="92" name="Text Box 327">
          <a:extLst>
            <a:ext uri="{FF2B5EF4-FFF2-40B4-BE49-F238E27FC236}">
              <a16:creationId xmlns:a16="http://schemas.microsoft.com/office/drawing/2014/main" id="{448EA9BE-21EB-43E8-8003-BF8009CF7C65}"/>
            </a:ext>
          </a:extLst>
        </xdr:cNvPr>
        <xdr:cNvSpPr txBox="1">
          <a:spLocks noChangeArrowheads="1"/>
        </xdr:cNvSpPr>
      </xdr:nvSpPr>
      <xdr:spPr bwMode="auto">
        <a:xfrm>
          <a:off x="23012914" y="42999660"/>
          <a:ext cx="600347" cy="46994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twoCellAnchor>
    <xdr:from>
      <xdr:col>158</xdr:col>
      <xdr:colOff>245425</xdr:colOff>
      <xdr:row>141</xdr:row>
      <xdr:rowOff>15634</xdr:rowOff>
    </xdr:from>
    <xdr:to>
      <xdr:col>160</xdr:col>
      <xdr:colOff>220930</xdr:colOff>
      <xdr:row>143</xdr:row>
      <xdr:rowOff>15635</xdr:rowOff>
    </xdr:to>
    <xdr:sp macro="" textlink="">
      <xdr:nvSpPr>
        <xdr:cNvPr id="93" name="Text Box 327">
          <a:extLst>
            <a:ext uri="{FF2B5EF4-FFF2-40B4-BE49-F238E27FC236}">
              <a16:creationId xmlns:a16="http://schemas.microsoft.com/office/drawing/2014/main" id="{E626D4ED-A533-4409-A71E-1E978ED3DA95}"/>
            </a:ext>
          </a:extLst>
        </xdr:cNvPr>
        <xdr:cNvSpPr txBox="1">
          <a:spLocks noChangeArrowheads="1"/>
        </xdr:cNvSpPr>
      </xdr:nvSpPr>
      <xdr:spPr bwMode="auto">
        <a:xfrm>
          <a:off x="11949745" y="39441514"/>
          <a:ext cx="600345" cy="472441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 </a:t>
          </a:r>
        </a:p>
      </xdr:txBody>
    </xdr:sp>
    <xdr:clientData/>
  </xdr:twoCellAnchor>
  <xdr:twoCellAnchor>
    <xdr:from>
      <xdr:col>174</xdr:col>
      <xdr:colOff>11751</xdr:colOff>
      <xdr:row>5</xdr:row>
      <xdr:rowOff>86591</xdr:rowOff>
    </xdr:from>
    <xdr:to>
      <xdr:col>175</xdr:col>
      <xdr:colOff>89648</xdr:colOff>
      <xdr:row>6</xdr:row>
      <xdr:rowOff>89648</xdr:rowOff>
    </xdr:to>
    <xdr:sp macro="" textlink="">
      <xdr:nvSpPr>
        <xdr:cNvPr id="94" name="矢印: 下カーブ 93">
          <a:extLst>
            <a:ext uri="{FF2B5EF4-FFF2-40B4-BE49-F238E27FC236}">
              <a16:creationId xmlns:a16="http://schemas.microsoft.com/office/drawing/2014/main" id="{42CF7FE3-26D8-4015-AA03-641DC49988EF}"/>
            </a:ext>
          </a:extLst>
        </xdr:cNvPr>
        <xdr:cNvSpPr/>
      </xdr:nvSpPr>
      <xdr:spPr>
        <a:xfrm>
          <a:off x="16714791" y="1046711"/>
          <a:ext cx="390317" cy="23927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177</xdr:col>
      <xdr:colOff>306975</xdr:colOff>
      <xdr:row>157</xdr:row>
      <xdr:rowOff>42554</xdr:rowOff>
    </xdr:from>
    <xdr:to>
      <xdr:col>181</xdr:col>
      <xdr:colOff>240665</xdr:colOff>
      <xdr:row>159</xdr:row>
      <xdr:rowOff>163153</xdr:rowOff>
    </xdr:to>
    <xdr:sp macro="" textlink="">
      <xdr:nvSpPr>
        <xdr:cNvPr id="95" name="Text Box 327">
          <a:extLst>
            <a:ext uri="{FF2B5EF4-FFF2-40B4-BE49-F238E27FC236}">
              <a16:creationId xmlns:a16="http://schemas.microsoft.com/office/drawing/2014/main" id="{D7F168C3-C3FB-44D0-B2F5-1B1546E751BE}"/>
            </a:ext>
          </a:extLst>
        </xdr:cNvPr>
        <xdr:cNvSpPr txBox="1">
          <a:spLocks noChangeArrowheads="1"/>
        </xdr:cNvSpPr>
      </xdr:nvSpPr>
      <xdr:spPr bwMode="auto">
        <a:xfrm>
          <a:off x="17947275" y="43278434"/>
          <a:ext cx="1183370" cy="59303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FA :3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1X: 2</a:t>
          </a:r>
        </a:p>
      </xdr:txBody>
    </xdr:sp>
    <xdr:clientData/>
  </xdr:twoCellAnchor>
  <xdr:twoCellAnchor>
    <xdr:from>
      <xdr:col>175</xdr:col>
      <xdr:colOff>194434</xdr:colOff>
      <xdr:row>152</xdr:row>
      <xdr:rowOff>127998</xdr:rowOff>
    </xdr:from>
    <xdr:to>
      <xdr:col>178</xdr:col>
      <xdr:colOff>277091</xdr:colOff>
      <xdr:row>155</xdr:row>
      <xdr:rowOff>41563</xdr:rowOff>
    </xdr:to>
    <xdr:sp macro="" textlink="">
      <xdr:nvSpPr>
        <xdr:cNvPr id="96" name="Text Box 327">
          <a:extLst>
            <a:ext uri="{FF2B5EF4-FFF2-40B4-BE49-F238E27FC236}">
              <a16:creationId xmlns:a16="http://schemas.microsoft.com/office/drawing/2014/main" id="{B583501C-FD02-48FF-AF40-0D4D7DC42128}"/>
            </a:ext>
          </a:extLst>
        </xdr:cNvPr>
        <xdr:cNvSpPr txBox="1">
          <a:spLocks noChangeArrowheads="1"/>
        </xdr:cNvSpPr>
      </xdr:nvSpPr>
      <xdr:spPr bwMode="auto">
        <a:xfrm>
          <a:off x="17209894" y="42175158"/>
          <a:ext cx="1019917" cy="629845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2X:6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3X:6</a:t>
          </a:r>
        </a:p>
      </xdr:txBody>
    </xdr:sp>
    <xdr:clientData/>
  </xdr:twoCellAnchor>
  <xdr:twoCellAnchor>
    <xdr:from>
      <xdr:col>177</xdr:col>
      <xdr:colOff>120280</xdr:colOff>
      <xdr:row>153</xdr:row>
      <xdr:rowOff>190253</xdr:rowOff>
    </xdr:from>
    <xdr:to>
      <xdr:col>180</xdr:col>
      <xdr:colOff>96982</xdr:colOff>
      <xdr:row>156</xdr:row>
      <xdr:rowOff>207819</xdr:rowOff>
    </xdr:to>
    <xdr:sp macro="" textlink="">
      <xdr:nvSpPr>
        <xdr:cNvPr id="97" name="Text Box 327">
          <a:extLst>
            <a:ext uri="{FF2B5EF4-FFF2-40B4-BE49-F238E27FC236}">
              <a16:creationId xmlns:a16="http://schemas.microsoft.com/office/drawing/2014/main" id="{106F4FDD-D116-4D85-B430-53D53DABF104}"/>
            </a:ext>
          </a:extLst>
        </xdr:cNvPr>
        <xdr:cNvSpPr txBox="1">
          <a:spLocks noChangeArrowheads="1"/>
        </xdr:cNvSpPr>
      </xdr:nvSpPr>
      <xdr:spPr bwMode="auto">
        <a:xfrm>
          <a:off x="17760580" y="42481253"/>
          <a:ext cx="913962" cy="726226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FA:6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1X: 5</a:t>
          </a:r>
        </a:p>
      </xdr:txBody>
    </xdr:sp>
    <xdr:clientData/>
  </xdr:twoCellAnchor>
  <xdr:twoCellAnchor>
    <xdr:from>
      <xdr:col>162</xdr:col>
      <xdr:colOff>102171</xdr:colOff>
      <xdr:row>5</xdr:row>
      <xdr:rowOff>0</xdr:rowOff>
    </xdr:from>
    <xdr:to>
      <xdr:col>165</xdr:col>
      <xdr:colOff>200595</xdr:colOff>
      <xdr:row>5</xdr:row>
      <xdr:rowOff>253415</xdr:rowOff>
    </xdr:to>
    <xdr:sp macro="" textlink="">
      <xdr:nvSpPr>
        <xdr:cNvPr id="98" name="矢印: 下カーブ 97">
          <a:extLst>
            <a:ext uri="{FF2B5EF4-FFF2-40B4-BE49-F238E27FC236}">
              <a16:creationId xmlns:a16="http://schemas.microsoft.com/office/drawing/2014/main" id="{FBE1CD49-D504-4B0A-9590-F05104FA1DED}"/>
            </a:ext>
          </a:extLst>
        </xdr:cNvPr>
        <xdr:cNvSpPr/>
      </xdr:nvSpPr>
      <xdr:spPr>
        <a:xfrm rot="1337860">
          <a:off x="13056171" y="960120"/>
          <a:ext cx="1035684" cy="238175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158</xdr:col>
      <xdr:colOff>116311</xdr:colOff>
      <xdr:row>8</xdr:row>
      <xdr:rowOff>66725</xdr:rowOff>
    </xdr:from>
    <xdr:to>
      <xdr:col>162</xdr:col>
      <xdr:colOff>64325</xdr:colOff>
      <xdr:row>9</xdr:row>
      <xdr:rowOff>67969</xdr:rowOff>
    </xdr:to>
    <xdr:sp macro="" textlink="">
      <xdr:nvSpPr>
        <xdr:cNvPr id="99" name="矢印: 下カーブ 98">
          <a:extLst>
            <a:ext uri="{FF2B5EF4-FFF2-40B4-BE49-F238E27FC236}">
              <a16:creationId xmlns:a16="http://schemas.microsoft.com/office/drawing/2014/main" id="{229B3B81-345F-4B4C-9E92-1AC9AE2454AE}"/>
            </a:ext>
          </a:extLst>
        </xdr:cNvPr>
        <xdr:cNvSpPr/>
      </xdr:nvSpPr>
      <xdr:spPr>
        <a:xfrm rot="1160478" flipV="1">
          <a:off x="11820631" y="2192705"/>
          <a:ext cx="1197694" cy="237464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148</xdr:col>
      <xdr:colOff>285750</xdr:colOff>
      <xdr:row>72</xdr:row>
      <xdr:rowOff>223656</xdr:rowOff>
    </xdr:from>
    <xdr:to>
      <xdr:col>230</xdr:col>
      <xdr:colOff>100013</xdr:colOff>
      <xdr:row>72</xdr:row>
      <xdr:rowOff>223656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4C1C28F8-6AA6-485D-9839-92D743A7E5B8}"/>
            </a:ext>
          </a:extLst>
        </xdr:cNvPr>
        <xdr:cNvCxnSpPr>
          <a:cxnSpLocks/>
        </xdr:cNvCxnSpPr>
      </xdr:nvCxnSpPr>
      <xdr:spPr>
        <a:xfrm>
          <a:off x="8865870" y="19829916"/>
          <a:ext cx="2543270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158</xdr:col>
      <xdr:colOff>19050</xdr:colOff>
      <xdr:row>73</xdr:row>
      <xdr:rowOff>5424</xdr:rowOff>
    </xdr:from>
    <xdr:to>
      <xdr:col>240</xdr:col>
      <xdr:colOff>76200</xdr:colOff>
      <xdr:row>73</xdr:row>
      <xdr:rowOff>5424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5C6E060E-D010-4E6F-9EF9-6E1A3C4DDE8C}"/>
            </a:ext>
          </a:extLst>
        </xdr:cNvPr>
        <xdr:cNvCxnSpPr>
          <a:cxnSpLocks/>
          <a:endCxn id="104" idx="3"/>
        </xdr:cNvCxnSpPr>
      </xdr:nvCxnSpPr>
      <xdr:spPr>
        <a:xfrm>
          <a:off x="11723370" y="20320344"/>
          <a:ext cx="2567559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292894</xdr:colOff>
      <xdr:row>71</xdr:row>
      <xdr:rowOff>133350</xdr:rowOff>
    </xdr:from>
    <xdr:to>
      <xdr:col>149</xdr:col>
      <xdr:colOff>190500</xdr:colOff>
      <xdr:row>72</xdr:row>
      <xdr:rowOff>426602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D4D8DB5F-3A63-4DF0-AE6C-AB3D7E79941A}"/>
            </a:ext>
          </a:extLst>
        </xdr:cNvPr>
        <xdr:cNvSpPr/>
      </xdr:nvSpPr>
      <xdr:spPr>
        <a:xfrm>
          <a:off x="6998494" y="19503390"/>
          <a:ext cx="2084546" cy="5294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C1-Gr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240</xdr:col>
      <xdr:colOff>66168</xdr:colOff>
      <xdr:row>72</xdr:row>
      <xdr:rowOff>304684</xdr:rowOff>
    </xdr:from>
    <xdr:ext cx="1097024" cy="298864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835E64BF-936E-420D-88E1-95EBBA54A10D}"/>
            </a:ext>
          </a:extLst>
        </xdr:cNvPr>
        <xdr:cNvSpPr txBox="1"/>
      </xdr:nvSpPr>
      <xdr:spPr>
        <a:xfrm>
          <a:off x="37388928" y="1991094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240</xdr:col>
      <xdr:colOff>76200</xdr:colOff>
      <xdr:row>72</xdr:row>
      <xdr:rowOff>615678</xdr:rowOff>
    </xdr:from>
    <xdr:to>
      <xdr:col>240</xdr:col>
      <xdr:colOff>209550</xdr:colOff>
      <xdr:row>73</xdr:row>
      <xdr:rowOff>138117</xdr:rowOff>
    </xdr:to>
    <xdr:sp macro="" textlink="">
      <xdr:nvSpPr>
        <xdr:cNvPr id="104" name="AutoShape 332">
          <a:extLst>
            <a:ext uri="{FF2B5EF4-FFF2-40B4-BE49-F238E27FC236}">
              <a16:creationId xmlns:a16="http://schemas.microsoft.com/office/drawing/2014/main" id="{92C2254F-7F90-455F-92B2-CB5F0E6456D7}"/>
            </a:ext>
          </a:extLst>
        </xdr:cNvPr>
        <xdr:cNvSpPr>
          <a:spLocks noChangeArrowheads="1"/>
        </xdr:cNvSpPr>
      </xdr:nvSpPr>
      <xdr:spPr bwMode="auto">
        <a:xfrm rot="5400000">
          <a:off x="37350085" y="20270813"/>
          <a:ext cx="231099" cy="13335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230</xdr:col>
      <xdr:colOff>124557</xdr:colOff>
      <xdr:row>72</xdr:row>
      <xdr:rowOff>90792</xdr:rowOff>
    </xdr:from>
    <xdr:to>
      <xdr:col>231</xdr:col>
      <xdr:colOff>85724</xdr:colOff>
      <xdr:row>72</xdr:row>
      <xdr:rowOff>327024</xdr:rowOff>
    </xdr:to>
    <xdr:sp macro="" textlink="">
      <xdr:nvSpPr>
        <xdr:cNvPr id="105" name="AutoShape 332">
          <a:extLst>
            <a:ext uri="{FF2B5EF4-FFF2-40B4-BE49-F238E27FC236}">
              <a16:creationId xmlns:a16="http://schemas.microsoft.com/office/drawing/2014/main" id="{1DDB34D2-4B93-459D-B11B-2AC297C8877A}"/>
            </a:ext>
          </a:extLst>
        </xdr:cNvPr>
        <xdr:cNvSpPr>
          <a:spLocks noChangeArrowheads="1"/>
        </xdr:cNvSpPr>
      </xdr:nvSpPr>
      <xdr:spPr bwMode="auto">
        <a:xfrm rot="5400000">
          <a:off x="34341795" y="19678374"/>
          <a:ext cx="236232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231</xdr:col>
      <xdr:colOff>80456</xdr:colOff>
      <xdr:row>72</xdr:row>
      <xdr:rowOff>21676</xdr:rowOff>
    </xdr:from>
    <xdr:ext cx="1097024" cy="298864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668E034A-93E6-4456-B259-05DE0EA7CDDE}"/>
            </a:ext>
          </a:extLst>
        </xdr:cNvPr>
        <xdr:cNvSpPr txBox="1"/>
      </xdr:nvSpPr>
      <xdr:spPr>
        <a:xfrm>
          <a:off x="34591436" y="1962793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210</xdr:col>
      <xdr:colOff>303356</xdr:colOff>
      <xdr:row>71</xdr:row>
      <xdr:rowOff>149370</xdr:rowOff>
    </xdr:from>
    <xdr:to>
      <xdr:col>212</xdr:col>
      <xdr:colOff>253339</xdr:colOff>
      <xdr:row>72</xdr:row>
      <xdr:rowOff>488313</xdr:rowOff>
    </xdr:to>
    <xdr:sp macro="" textlink="">
      <xdr:nvSpPr>
        <xdr:cNvPr id="107" name="テキスト ボックス 1611">
          <a:extLst>
            <a:ext uri="{FF2B5EF4-FFF2-40B4-BE49-F238E27FC236}">
              <a16:creationId xmlns:a16="http://schemas.microsoft.com/office/drawing/2014/main" id="{6213148C-A546-4BAC-87B7-E6D2E202B2A4}"/>
            </a:ext>
          </a:extLst>
        </xdr:cNvPr>
        <xdr:cNvSpPr txBox="1">
          <a:spLocks noChangeAspect="1"/>
        </xdr:cNvSpPr>
      </xdr:nvSpPr>
      <xdr:spPr>
        <a:xfrm>
          <a:off x="28253516" y="19519410"/>
          <a:ext cx="574823" cy="57516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oneCellAnchor>
    <xdr:from>
      <xdr:col>182</xdr:col>
      <xdr:colOff>124731</xdr:colOff>
      <xdr:row>71</xdr:row>
      <xdr:rowOff>185964</xdr:rowOff>
    </xdr:from>
    <xdr:ext cx="1000125" cy="483753"/>
    <xdr:sp macro="" textlink="">
      <xdr:nvSpPr>
        <xdr:cNvPr id="108" name="Text Box 327">
          <a:extLst>
            <a:ext uri="{FF2B5EF4-FFF2-40B4-BE49-F238E27FC236}">
              <a16:creationId xmlns:a16="http://schemas.microsoft.com/office/drawing/2014/main" id="{119A3033-9A0F-4F6E-AFC3-AB5FE0596283}"/>
            </a:ext>
          </a:extLst>
        </xdr:cNvPr>
        <xdr:cNvSpPr txBox="1">
          <a:spLocks noChangeArrowheads="1"/>
        </xdr:cNvSpPr>
      </xdr:nvSpPr>
      <xdr:spPr bwMode="auto">
        <a:xfrm flipH="1">
          <a:off x="19327131" y="19556004"/>
          <a:ext cx="1000125" cy="483753"/>
        </a:xfrm>
        <a:prstGeom prst="parallelogram">
          <a:avLst>
            <a:gd name="adj" fmla="val 0"/>
          </a:avLst>
        </a:prstGeom>
        <a:solidFill>
          <a:schemeClr val="bg1">
            <a:lumMod val="85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195</xdr:col>
      <xdr:colOff>304799</xdr:colOff>
      <xdr:row>72</xdr:row>
      <xdr:rowOff>533400</xdr:rowOff>
    </xdr:from>
    <xdr:ext cx="1000125" cy="426603"/>
    <xdr:sp macro="" textlink="">
      <xdr:nvSpPr>
        <xdr:cNvPr id="109" name="Text Box 327">
          <a:extLst>
            <a:ext uri="{FF2B5EF4-FFF2-40B4-BE49-F238E27FC236}">
              <a16:creationId xmlns:a16="http://schemas.microsoft.com/office/drawing/2014/main" id="{CC9318F2-93BA-4D9D-A05B-08E01E97A938}"/>
            </a:ext>
          </a:extLst>
        </xdr:cNvPr>
        <xdr:cNvSpPr txBox="1">
          <a:spLocks noChangeArrowheads="1"/>
        </xdr:cNvSpPr>
      </xdr:nvSpPr>
      <xdr:spPr bwMode="auto">
        <a:xfrm flipH="1">
          <a:off x="23568659" y="20139660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218</xdr:col>
      <xdr:colOff>36656</xdr:colOff>
      <xdr:row>72</xdr:row>
      <xdr:rowOff>511320</xdr:rowOff>
    </xdr:from>
    <xdr:to>
      <xdr:col>219</xdr:col>
      <xdr:colOff>310489</xdr:colOff>
      <xdr:row>74</xdr:row>
      <xdr:rowOff>107313</xdr:rowOff>
    </xdr:to>
    <xdr:sp macro="" textlink="">
      <xdr:nvSpPr>
        <xdr:cNvPr id="110" name="テキスト ボックス 1611">
          <a:extLst>
            <a:ext uri="{FF2B5EF4-FFF2-40B4-BE49-F238E27FC236}">
              <a16:creationId xmlns:a16="http://schemas.microsoft.com/office/drawing/2014/main" id="{155A1A8E-58D4-4052-ACE3-646D210FB75A}"/>
            </a:ext>
          </a:extLst>
        </xdr:cNvPr>
        <xdr:cNvSpPr txBox="1">
          <a:spLocks noChangeAspect="1"/>
        </xdr:cNvSpPr>
      </xdr:nvSpPr>
      <xdr:spPr>
        <a:xfrm>
          <a:off x="30486176" y="20117580"/>
          <a:ext cx="586253" cy="54087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152</xdr:col>
      <xdr:colOff>102394</xdr:colOff>
      <xdr:row>72</xdr:row>
      <xdr:rowOff>476250</xdr:rowOff>
    </xdr:from>
    <xdr:to>
      <xdr:col>159</xdr:col>
      <xdr:colOff>0</xdr:colOff>
      <xdr:row>74</xdr:row>
      <xdr:rowOff>26552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76D6B0EA-9521-4D05-9F94-5E67078C8C7E}"/>
            </a:ext>
          </a:extLst>
        </xdr:cNvPr>
        <xdr:cNvSpPr/>
      </xdr:nvSpPr>
      <xdr:spPr>
        <a:xfrm>
          <a:off x="9932194" y="20082510"/>
          <a:ext cx="2084546" cy="49518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C2-Gr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148</xdr:col>
      <xdr:colOff>285750</xdr:colOff>
      <xdr:row>97</xdr:row>
      <xdr:rowOff>217306</xdr:rowOff>
    </xdr:from>
    <xdr:to>
      <xdr:col>247</xdr:col>
      <xdr:colOff>0</xdr:colOff>
      <xdr:row>97</xdr:row>
      <xdr:rowOff>217306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E35BF295-7CF6-481C-AFD1-CF49110B9DFC}"/>
            </a:ext>
          </a:extLst>
        </xdr:cNvPr>
        <xdr:cNvCxnSpPr>
          <a:cxnSpLocks/>
        </xdr:cNvCxnSpPr>
      </xdr:nvCxnSpPr>
      <xdr:spPr>
        <a:xfrm>
          <a:off x="8865870" y="27923626"/>
          <a:ext cx="3064383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246</xdr:col>
      <xdr:colOff>204105</xdr:colOff>
      <xdr:row>97</xdr:row>
      <xdr:rowOff>95251</xdr:rowOff>
    </xdr:from>
    <xdr:to>
      <xdr:col>248</xdr:col>
      <xdr:colOff>40819</xdr:colOff>
      <xdr:row>98</xdr:row>
      <xdr:rowOff>178708</xdr:rowOff>
    </xdr:to>
    <xdr:sp macro="" textlink="">
      <xdr:nvSpPr>
        <xdr:cNvPr id="113" name="AutoShape 332">
          <a:extLst>
            <a:ext uri="{FF2B5EF4-FFF2-40B4-BE49-F238E27FC236}">
              <a16:creationId xmlns:a16="http://schemas.microsoft.com/office/drawing/2014/main" id="{91083009-E029-45AB-BC3E-C16D4EAE2E5C}"/>
            </a:ext>
          </a:extLst>
        </xdr:cNvPr>
        <xdr:cNvSpPr>
          <a:spLocks noChangeArrowheads="1"/>
        </xdr:cNvSpPr>
      </xdr:nvSpPr>
      <xdr:spPr bwMode="auto">
        <a:xfrm rot="5400000">
          <a:off x="39472323" y="27730633"/>
          <a:ext cx="319677" cy="46155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247</xdr:col>
      <xdr:colOff>260524</xdr:colOff>
      <xdr:row>96</xdr:row>
      <xdr:rowOff>198568</xdr:rowOff>
    </xdr:from>
    <xdr:ext cx="1097024" cy="298864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6188AAC6-102B-470D-BB55-09A5BC4E1818}"/>
            </a:ext>
          </a:extLst>
        </xdr:cNvPr>
        <xdr:cNvSpPr txBox="1"/>
      </xdr:nvSpPr>
      <xdr:spPr>
        <a:xfrm>
          <a:off x="39770224" y="27668668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163</xdr:col>
      <xdr:colOff>138546</xdr:colOff>
      <xdr:row>96</xdr:row>
      <xdr:rowOff>144977</xdr:rowOff>
    </xdr:from>
    <xdr:ext cx="588818" cy="613848"/>
    <xdr:sp macro="" textlink="">
      <xdr:nvSpPr>
        <xdr:cNvPr id="115" name="Text Box 327">
          <a:extLst>
            <a:ext uri="{FF2B5EF4-FFF2-40B4-BE49-F238E27FC236}">
              <a16:creationId xmlns:a16="http://schemas.microsoft.com/office/drawing/2014/main" id="{CA9ECE51-2AEE-4044-B469-6480E4D1585A}"/>
            </a:ext>
          </a:extLst>
        </xdr:cNvPr>
        <xdr:cNvSpPr txBox="1">
          <a:spLocks noChangeArrowheads="1"/>
        </xdr:cNvSpPr>
      </xdr:nvSpPr>
      <xdr:spPr bwMode="auto">
        <a:xfrm flipH="1">
          <a:off x="13404966" y="27615077"/>
          <a:ext cx="588818" cy="613848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単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CAB(2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oneCellAnchor>
    <xdr:from>
      <xdr:col>198</xdr:col>
      <xdr:colOff>96981</xdr:colOff>
      <xdr:row>97</xdr:row>
      <xdr:rowOff>57150</xdr:rowOff>
    </xdr:from>
    <xdr:ext cx="1000125" cy="426603"/>
    <xdr:sp macro="" textlink="">
      <xdr:nvSpPr>
        <xdr:cNvPr id="116" name="Text Box 327">
          <a:extLst>
            <a:ext uri="{FF2B5EF4-FFF2-40B4-BE49-F238E27FC236}">
              <a16:creationId xmlns:a16="http://schemas.microsoft.com/office/drawing/2014/main" id="{B043E49C-4558-4E50-AB6B-D62B430D0085}"/>
            </a:ext>
          </a:extLst>
        </xdr:cNvPr>
        <xdr:cNvSpPr txBox="1">
          <a:spLocks noChangeArrowheads="1"/>
        </xdr:cNvSpPr>
      </xdr:nvSpPr>
      <xdr:spPr bwMode="auto">
        <a:xfrm flipH="1">
          <a:off x="24298101" y="27763470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219</xdr:col>
      <xdr:colOff>105928</xdr:colOff>
      <xdr:row>97</xdr:row>
      <xdr:rowOff>19483</xdr:rowOff>
    </xdr:from>
    <xdr:to>
      <xdr:col>221</xdr:col>
      <xdr:colOff>71210</xdr:colOff>
      <xdr:row>98</xdr:row>
      <xdr:rowOff>121455</xdr:rowOff>
    </xdr:to>
    <xdr:sp macro="" textlink="">
      <xdr:nvSpPr>
        <xdr:cNvPr id="117" name="テキスト ボックス 1611">
          <a:extLst>
            <a:ext uri="{FF2B5EF4-FFF2-40B4-BE49-F238E27FC236}">
              <a16:creationId xmlns:a16="http://schemas.microsoft.com/office/drawing/2014/main" id="{67625EC7-4764-4764-9DC3-A4734107F922}"/>
            </a:ext>
          </a:extLst>
        </xdr:cNvPr>
        <xdr:cNvSpPr txBox="1">
          <a:spLocks noChangeAspect="1"/>
        </xdr:cNvSpPr>
      </xdr:nvSpPr>
      <xdr:spPr>
        <a:xfrm>
          <a:off x="30867868" y="27725803"/>
          <a:ext cx="590122" cy="338192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260</xdr:col>
      <xdr:colOff>3175</xdr:colOff>
      <xdr:row>102</xdr:row>
      <xdr:rowOff>64862</xdr:rowOff>
    </xdr:from>
    <xdr:to>
      <xdr:col>261</xdr:col>
      <xdr:colOff>156028</xdr:colOff>
      <xdr:row>103</xdr:row>
      <xdr:rowOff>154670</xdr:rowOff>
    </xdr:to>
    <xdr:sp macro="" textlink="">
      <xdr:nvSpPr>
        <xdr:cNvPr id="118" name="AutoShape 332">
          <a:extLst>
            <a:ext uri="{FF2B5EF4-FFF2-40B4-BE49-F238E27FC236}">
              <a16:creationId xmlns:a16="http://schemas.microsoft.com/office/drawing/2014/main" id="{FCD7B2DB-7A11-44A3-B309-017748335A60}"/>
            </a:ext>
          </a:extLst>
        </xdr:cNvPr>
        <xdr:cNvSpPr>
          <a:spLocks noChangeArrowheads="1"/>
        </xdr:cNvSpPr>
      </xdr:nvSpPr>
      <xdr:spPr bwMode="auto">
        <a:xfrm rot="5400000">
          <a:off x="43643958" y="28943619"/>
          <a:ext cx="326028" cy="46527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260</xdr:col>
      <xdr:colOff>163285</xdr:colOff>
      <xdr:row>101</xdr:row>
      <xdr:rowOff>122464</xdr:rowOff>
    </xdr:from>
    <xdr:ext cx="1097024" cy="298864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F1F3866A-070E-4618-95E9-48AB379BBA82}"/>
            </a:ext>
          </a:extLst>
        </xdr:cNvPr>
        <xdr:cNvSpPr txBox="1"/>
      </xdr:nvSpPr>
      <xdr:spPr>
        <a:xfrm>
          <a:off x="43734445" y="2883462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204</xdr:col>
      <xdr:colOff>64860</xdr:colOff>
      <xdr:row>101</xdr:row>
      <xdr:rowOff>173718</xdr:rowOff>
    </xdr:from>
    <xdr:to>
      <xdr:col>206</xdr:col>
      <xdr:colOff>150585</xdr:colOff>
      <xdr:row>103</xdr:row>
      <xdr:rowOff>203526</xdr:rowOff>
    </xdr:to>
    <xdr:sp macro="" textlink="">
      <xdr:nvSpPr>
        <xdr:cNvPr id="120" name="Text Box 327">
          <a:extLst>
            <a:ext uri="{FF2B5EF4-FFF2-40B4-BE49-F238E27FC236}">
              <a16:creationId xmlns:a16="http://schemas.microsoft.com/office/drawing/2014/main" id="{7B22C977-B194-464C-80A9-94BF64D73176}"/>
            </a:ext>
          </a:extLst>
        </xdr:cNvPr>
        <xdr:cNvSpPr txBox="1">
          <a:spLocks noChangeArrowheads="1"/>
        </xdr:cNvSpPr>
      </xdr:nvSpPr>
      <xdr:spPr bwMode="auto">
        <a:xfrm>
          <a:off x="26140500" y="28885878"/>
          <a:ext cx="710565" cy="50224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247</xdr:col>
      <xdr:colOff>27214</xdr:colOff>
      <xdr:row>101</xdr:row>
      <xdr:rowOff>190500</xdr:rowOff>
    </xdr:from>
    <xdr:to>
      <xdr:col>249</xdr:col>
      <xdr:colOff>112938</xdr:colOff>
      <xdr:row>103</xdr:row>
      <xdr:rowOff>223483</xdr:rowOff>
    </xdr:to>
    <xdr:sp macro="" textlink="">
      <xdr:nvSpPr>
        <xdr:cNvPr id="121" name="Text Box 327">
          <a:extLst>
            <a:ext uri="{FF2B5EF4-FFF2-40B4-BE49-F238E27FC236}">
              <a16:creationId xmlns:a16="http://schemas.microsoft.com/office/drawing/2014/main" id="{9635974D-4956-49CB-B80C-1A83420802BA}"/>
            </a:ext>
          </a:extLst>
        </xdr:cNvPr>
        <xdr:cNvSpPr txBox="1">
          <a:spLocks noChangeArrowheads="1"/>
        </xdr:cNvSpPr>
      </xdr:nvSpPr>
      <xdr:spPr bwMode="auto">
        <a:xfrm>
          <a:off x="39536914" y="28902660"/>
          <a:ext cx="710564" cy="50542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194</xdr:col>
      <xdr:colOff>190501</xdr:colOff>
      <xdr:row>107</xdr:row>
      <xdr:rowOff>0</xdr:rowOff>
    </xdr:from>
    <xdr:to>
      <xdr:col>196</xdr:col>
      <xdr:colOff>276225</xdr:colOff>
      <xdr:row>108</xdr:row>
      <xdr:rowOff>70629</xdr:rowOff>
    </xdr:to>
    <xdr:sp macro="" textlink="">
      <xdr:nvSpPr>
        <xdr:cNvPr id="122" name="Text Box 327">
          <a:extLst>
            <a:ext uri="{FF2B5EF4-FFF2-40B4-BE49-F238E27FC236}">
              <a16:creationId xmlns:a16="http://schemas.microsoft.com/office/drawing/2014/main" id="{9E06FE84-A2F0-4501-AF0B-EB78F712AAE6}"/>
            </a:ext>
          </a:extLst>
        </xdr:cNvPr>
        <xdr:cNvSpPr txBox="1">
          <a:spLocks noChangeArrowheads="1"/>
        </xdr:cNvSpPr>
      </xdr:nvSpPr>
      <xdr:spPr bwMode="auto">
        <a:xfrm>
          <a:off x="23141941" y="30373320"/>
          <a:ext cx="710564" cy="53544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199</xdr:col>
      <xdr:colOff>112857</xdr:colOff>
      <xdr:row>55</xdr:row>
      <xdr:rowOff>66098</xdr:rowOff>
    </xdr:from>
    <xdr:to>
      <xdr:col>200</xdr:col>
      <xdr:colOff>67674</xdr:colOff>
      <xdr:row>56</xdr:row>
      <xdr:rowOff>248140</xdr:rowOff>
    </xdr:to>
    <xdr:sp macro="" textlink="">
      <xdr:nvSpPr>
        <xdr:cNvPr id="123" name="AutoShape 332">
          <a:extLst>
            <a:ext uri="{FF2B5EF4-FFF2-40B4-BE49-F238E27FC236}">
              <a16:creationId xmlns:a16="http://schemas.microsoft.com/office/drawing/2014/main" id="{9D314925-A653-4F97-BE3D-F64D20D5C51C}"/>
            </a:ext>
          </a:extLst>
        </xdr:cNvPr>
        <xdr:cNvSpPr>
          <a:spLocks noChangeArrowheads="1"/>
        </xdr:cNvSpPr>
      </xdr:nvSpPr>
      <xdr:spPr bwMode="auto">
        <a:xfrm rot="5400000">
          <a:off x="24535645" y="14764390"/>
          <a:ext cx="448742" cy="26723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176</xdr:col>
      <xdr:colOff>288636</xdr:colOff>
      <xdr:row>54</xdr:row>
      <xdr:rowOff>219364</xdr:rowOff>
    </xdr:from>
    <xdr:to>
      <xdr:col>178</xdr:col>
      <xdr:colOff>150091</xdr:colOff>
      <xdr:row>56</xdr:row>
      <xdr:rowOff>233507</xdr:rowOff>
    </xdr:to>
    <xdr:sp macro="" textlink="">
      <xdr:nvSpPr>
        <xdr:cNvPr id="124" name="Text Box 327">
          <a:extLst>
            <a:ext uri="{FF2B5EF4-FFF2-40B4-BE49-F238E27FC236}">
              <a16:creationId xmlns:a16="http://schemas.microsoft.com/office/drawing/2014/main" id="{02919A18-71CC-4A18-A28C-22BEA1B9734E}"/>
            </a:ext>
          </a:extLst>
        </xdr:cNvPr>
        <xdr:cNvSpPr txBox="1">
          <a:spLocks noChangeArrowheads="1"/>
        </xdr:cNvSpPr>
      </xdr:nvSpPr>
      <xdr:spPr bwMode="auto">
        <a:xfrm>
          <a:off x="17616516" y="14560204"/>
          <a:ext cx="486295" cy="54754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152</xdr:col>
      <xdr:colOff>268432</xdr:colOff>
      <xdr:row>92</xdr:row>
      <xdr:rowOff>217307</xdr:rowOff>
    </xdr:from>
    <xdr:to>
      <xdr:col>256</xdr:col>
      <xdr:colOff>13605</xdr:colOff>
      <xdr:row>92</xdr:row>
      <xdr:rowOff>234953</xdr:rowOff>
    </xdr:to>
    <xdr:cxnSp macro="">
      <xdr:nvCxnSpPr>
        <xdr:cNvPr id="125" name="直線コネクタ 124">
          <a:extLst>
            <a:ext uri="{FF2B5EF4-FFF2-40B4-BE49-F238E27FC236}">
              <a16:creationId xmlns:a16="http://schemas.microsoft.com/office/drawing/2014/main" id="{D94F242D-7C91-4627-88A9-EC8F5246E400}"/>
            </a:ext>
          </a:extLst>
        </xdr:cNvPr>
        <xdr:cNvCxnSpPr>
          <a:cxnSpLocks/>
          <a:endCxn id="126" idx="3"/>
        </xdr:cNvCxnSpPr>
      </xdr:nvCxnSpPr>
      <xdr:spPr>
        <a:xfrm>
          <a:off x="10098232" y="26445347"/>
          <a:ext cx="32236853" cy="1764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13604</xdr:colOff>
      <xdr:row>92</xdr:row>
      <xdr:rowOff>11837</xdr:rowOff>
    </xdr:from>
    <xdr:to>
      <xdr:col>257</xdr:col>
      <xdr:colOff>165220</xdr:colOff>
      <xdr:row>93</xdr:row>
      <xdr:rowOff>221965</xdr:rowOff>
    </xdr:to>
    <xdr:sp macro="" textlink="">
      <xdr:nvSpPr>
        <xdr:cNvPr id="126" name="AutoShape 332">
          <a:extLst>
            <a:ext uri="{FF2B5EF4-FFF2-40B4-BE49-F238E27FC236}">
              <a16:creationId xmlns:a16="http://schemas.microsoft.com/office/drawing/2014/main" id="{6A3A3BAB-BC10-4403-9536-AD1A6F090D1C}"/>
            </a:ext>
          </a:extLst>
        </xdr:cNvPr>
        <xdr:cNvSpPr>
          <a:spLocks noChangeArrowheads="1"/>
        </xdr:cNvSpPr>
      </xdr:nvSpPr>
      <xdr:spPr bwMode="auto">
        <a:xfrm rot="5400000">
          <a:off x="42343928" y="26231033"/>
          <a:ext cx="446348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256</xdr:col>
      <xdr:colOff>80991</xdr:colOff>
      <xdr:row>91</xdr:row>
      <xdr:rowOff>66372</xdr:rowOff>
    </xdr:from>
    <xdr:ext cx="1097024" cy="298864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EFD7175F-3906-4987-86EC-17E3405E351D}"/>
            </a:ext>
          </a:extLst>
        </xdr:cNvPr>
        <xdr:cNvSpPr txBox="1"/>
      </xdr:nvSpPr>
      <xdr:spPr>
        <a:xfrm>
          <a:off x="42402471" y="26058192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285750</xdr:colOff>
      <xdr:row>87</xdr:row>
      <xdr:rowOff>220481</xdr:rowOff>
    </xdr:from>
    <xdr:to>
      <xdr:col>243</xdr:col>
      <xdr:colOff>121227</xdr:colOff>
      <xdr:row>87</xdr:row>
      <xdr:rowOff>220481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D90A1C62-379D-4E48-A4FA-83DB2419AEBC}"/>
            </a:ext>
          </a:extLst>
        </xdr:cNvPr>
        <xdr:cNvCxnSpPr>
          <a:cxnSpLocks/>
        </xdr:cNvCxnSpPr>
      </xdr:nvCxnSpPr>
      <xdr:spPr>
        <a:xfrm>
          <a:off x="8865870" y="24497801"/>
          <a:ext cx="29515377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243</xdr:col>
      <xdr:colOff>10430</xdr:colOff>
      <xdr:row>87</xdr:row>
      <xdr:rowOff>60615</xdr:rowOff>
    </xdr:from>
    <xdr:to>
      <xdr:col>244</xdr:col>
      <xdr:colOff>162046</xdr:colOff>
      <xdr:row>88</xdr:row>
      <xdr:rowOff>147247</xdr:rowOff>
    </xdr:to>
    <xdr:sp macro="" textlink="">
      <xdr:nvSpPr>
        <xdr:cNvPr id="129" name="AutoShape 332">
          <a:extLst>
            <a:ext uri="{FF2B5EF4-FFF2-40B4-BE49-F238E27FC236}">
              <a16:creationId xmlns:a16="http://schemas.microsoft.com/office/drawing/2014/main" id="{D6BB3DC1-0CDA-4FB5-A5FA-6BD6F45A0D80}"/>
            </a:ext>
          </a:extLst>
        </xdr:cNvPr>
        <xdr:cNvSpPr>
          <a:spLocks noChangeArrowheads="1"/>
        </xdr:cNvSpPr>
      </xdr:nvSpPr>
      <xdr:spPr bwMode="auto">
        <a:xfrm rot="5400000">
          <a:off x="38341042" y="24267343"/>
          <a:ext cx="32285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243</xdr:col>
      <xdr:colOff>14894</xdr:colOff>
      <xdr:row>86</xdr:row>
      <xdr:rowOff>80516</xdr:rowOff>
    </xdr:from>
    <xdr:ext cx="1097024" cy="298864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0750FBCD-B49D-44FA-ACB2-140D8D3ECD29}"/>
            </a:ext>
          </a:extLst>
        </xdr:cNvPr>
        <xdr:cNvSpPr txBox="1"/>
      </xdr:nvSpPr>
      <xdr:spPr>
        <a:xfrm>
          <a:off x="38274914" y="2412161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188</xdr:col>
      <xdr:colOff>45027</xdr:colOff>
      <xdr:row>86</xdr:row>
      <xdr:rowOff>230331</xdr:rowOff>
    </xdr:from>
    <xdr:ext cx="1000125" cy="426603"/>
    <xdr:sp macro="" textlink="">
      <xdr:nvSpPr>
        <xdr:cNvPr id="131" name="Text Box 327">
          <a:extLst>
            <a:ext uri="{FF2B5EF4-FFF2-40B4-BE49-F238E27FC236}">
              <a16:creationId xmlns:a16="http://schemas.microsoft.com/office/drawing/2014/main" id="{179E049D-D0C6-4216-BBFF-126369C89DA7}"/>
            </a:ext>
          </a:extLst>
        </xdr:cNvPr>
        <xdr:cNvSpPr txBox="1">
          <a:spLocks noChangeArrowheads="1"/>
        </xdr:cNvSpPr>
      </xdr:nvSpPr>
      <xdr:spPr bwMode="auto">
        <a:xfrm flipH="1">
          <a:off x="21121947" y="24271431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215</xdr:col>
      <xdr:colOff>16163</xdr:colOff>
      <xdr:row>87</xdr:row>
      <xdr:rowOff>54119</xdr:rowOff>
    </xdr:from>
    <xdr:to>
      <xdr:col>216</xdr:col>
      <xdr:colOff>293171</xdr:colOff>
      <xdr:row>88</xdr:row>
      <xdr:rowOff>159266</xdr:rowOff>
    </xdr:to>
    <xdr:sp macro="" textlink="">
      <xdr:nvSpPr>
        <xdr:cNvPr id="132" name="テキスト ボックス 1611">
          <a:extLst>
            <a:ext uri="{FF2B5EF4-FFF2-40B4-BE49-F238E27FC236}">
              <a16:creationId xmlns:a16="http://schemas.microsoft.com/office/drawing/2014/main" id="{93721396-21C9-4D77-A188-5B64662DCF44}"/>
            </a:ext>
          </a:extLst>
        </xdr:cNvPr>
        <xdr:cNvSpPr txBox="1">
          <a:spLocks noChangeAspect="1"/>
        </xdr:cNvSpPr>
      </xdr:nvSpPr>
      <xdr:spPr>
        <a:xfrm>
          <a:off x="29528423" y="24331439"/>
          <a:ext cx="589428" cy="341367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193</xdr:col>
      <xdr:colOff>170007</xdr:colOff>
      <xdr:row>91</xdr:row>
      <xdr:rowOff>144896</xdr:rowOff>
    </xdr:from>
    <xdr:to>
      <xdr:col>195</xdr:col>
      <xdr:colOff>252557</xdr:colOff>
      <xdr:row>93</xdr:row>
      <xdr:rowOff>168354</xdr:rowOff>
    </xdr:to>
    <xdr:sp macro="" textlink="">
      <xdr:nvSpPr>
        <xdr:cNvPr id="133" name="Text Box 327">
          <a:extLst>
            <a:ext uri="{FF2B5EF4-FFF2-40B4-BE49-F238E27FC236}">
              <a16:creationId xmlns:a16="http://schemas.microsoft.com/office/drawing/2014/main" id="{7D71F52C-89C2-4AB1-BDFB-B706C884AE1E}"/>
            </a:ext>
          </a:extLst>
        </xdr:cNvPr>
        <xdr:cNvSpPr txBox="1">
          <a:spLocks noChangeArrowheads="1"/>
        </xdr:cNvSpPr>
      </xdr:nvSpPr>
      <xdr:spPr bwMode="auto">
        <a:xfrm>
          <a:off x="22809027" y="26136716"/>
          <a:ext cx="707390" cy="49589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242</xdr:col>
      <xdr:colOff>48781</xdr:colOff>
      <xdr:row>92</xdr:row>
      <xdr:rowOff>3174</xdr:rowOff>
    </xdr:from>
    <xdr:to>
      <xdr:col>244</xdr:col>
      <xdr:colOff>134506</xdr:colOff>
      <xdr:row>93</xdr:row>
      <xdr:rowOff>272262</xdr:rowOff>
    </xdr:to>
    <xdr:sp macro="" textlink="">
      <xdr:nvSpPr>
        <xdr:cNvPr id="134" name="Text Box 327">
          <a:extLst>
            <a:ext uri="{FF2B5EF4-FFF2-40B4-BE49-F238E27FC236}">
              <a16:creationId xmlns:a16="http://schemas.microsoft.com/office/drawing/2014/main" id="{AE7623FE-7257-4F89-9303-55224E4DC021}"/>
            </a:ext>
          </a:extLst>
        </xdr:cNvPr>
        <xdr:cNvSpPr txBox="1">
          <a:spLocks noChangeArrowheads="1"/>
        </xdr:cNvSpPr>
      </xdr:nvSpPr>
      <xdr:spPr bwMode="auto">
        <a:xfrm>
          <a:off x="37996381" y="26231214"/>
          <a:ext cx="710565" cy="50530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148</xdr:col>
      <xdr:colOff>285750</xdr:colOff>
      <xdr:row>82</xdr:row>
      <xdr:rowOff>171617</xdr:rowOff>
    </xdr:from>
    <xdr:to>
      <xdr:col>252</xdr:col>
      <xdr:colOff>27747</xdr:colOff>
      <xdr:row>82</xdr:row>
      <xdr:rowOff>217306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BA153C9C-8402-4855-91C6-AF6F353274D8}"/>
            </a:ext>
          </a:extLst>
        </xdr:cNvPr>
        <xdr:cNvCxnSpPr>
          <a:cxnSpLocks/>
          <a:endCxn id="136" idx="3"/>
        </xdr:cNvCxnSpPr>
      </xdr:nvCxnSpPr>
      <xdr:spPr>
        <a:xfrm flipV="1">
          <a:off x="8865870" y="23206877"/>
          <a:ext cx="32233677" cy="45689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252</xdr:col>
      <xdr:colOff>24572</xdr:colOff>
      <xdr:row>82</xdr:row>
      <xdr:rowOff>11836</xdr:rowOff>
    </xdr:from>
    <xdr:to>
      <xdr:col>253</xdr:col>
      <xdr:colOff>176188</xdr:colOff>
      <xdr:row>83</xdr:row>
      <xdr:rowOff>92118</xdr:rowOff>
    </xdr:to>
    <xdr:sp macro="" textlink="">
      <xdr:nvSpPr>
        <xdr:cNvPr id="136" name="AutoShape 332">
          <a:extLst>
            <a:ext uri="{FF2B5EF4-FFF2-40B4-BE49-F238E27FC236}">
              <a16:creationId xmlns:a16="http://schemas.microsoft.com/office/drawing/2014/main" id="{DA6BAE2C-10FA-4ED5-983F-DE39A1C77443}"/>
            </a:ext>
          </a:extLst>
        </xdr:cNvPr>
        <xdr:cNvSpPr>
          <a:spLocks noChangeArrowheads="1"/>
        </xdr:cNvSpPr>
      </xdr:nvSpPr>
      <xdr:spPr bwMode="auto">
        <a:xfrm rot="5400000">
          <a:off x="41170139" y="22973329"/>
          <a:ext cx="31650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252</xdr:col>
      <xdr:colOff>132946</xdr:colOff>
      <xdr:row>81</xdr:row>
      <xdr:rowOff>49054</xdr:rowOff>
    </xdr:from>
    <xdr:ext cx="1097024" cy="298864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2B0FBD86-7093-4D19-96E6-9F2C8D51F5FD}"/>
            </a:ext>
          </a:extLst>
        </xdr:cNvPr>
        <xdr:cNvSpPr txBox="1"/>
      </xdr:nvSpPr>
      <xdr:spPr>
        <a:xfrm>
          <a:off x="41204746" y="2284809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285750</xdr:colOff>
      <xdr:row>77</xdr:row>
      <xdr:rowOff>220481</xdr:rowOff>
    </xdr:from>
    <xdr:to>
      <xdr:col>243</xdr:col>
      <xdr:colOff>121227</xdr:colOff>
      <xdr:row>77</xdr:row>
      <xdr:rowOff>220481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C06CFB75-B2F1-4490-A9B2-36077FDBC7E8}"/>
            </a:ext>
          </a:extLst>
        </xdr:cNvPr>
        <xdr:cNvCxnSpPr>
          <a:cxnSpLocks/>
        </xdr:cNvCxnSpPr>
      </xdr:nvCxnSpPr>
      <xdr:spPr>
        <a:xfrm>
          <a:off x="8865870" y="21541241"/>
          <a:ext cx="29515377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243</xdr:col>
      <xdr:colOff>10430</xdr:colOff>
      <xdr:row>77</xdr:row>
      <xdr:rowOff>60615</xdr:rowOff>
    </xdr:from>
    <xdr:to>
      <xdr:col>244</xdr:col>
      <xdr:colOff>162046</xdr:colOff>
      <xdr:row>78</xdr:row>
      <xdr:rowOff>147247</xdr:rowOff>
    </xdr:to>
    <xdr:sp macro="" textlink="">
      <xdr:nvSpPr>
        <xdr:cNvPr id="139" name="AutoShape 332">
          <a:extLst>
            <a:ext uri="{FF2B5EF4-FFF2-40B4-BE49-F238E27FC236}">
              <a16:creationId xmlns:a16="http://schemas.microsoft.com/office/drawing/2014/main" id="{CA360785-3BA4-4BBD-B3AA-22CE18B29379}"/>
            </a:ext>
          </a:extLst>
        </xdr:cNvPr>
        <xdr:cNvSpPr>
          <a:spLocks noChangeArrowheads="1"/>
        </xdr:cNvSpPr>
      </xdr:nvSpPr>
      <xdr:spPr bwMode="auto">
        <a:xfrm rot="5400000">
          <a:off x="38341042" y="21310783"/>
          <a:ext cx="32285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243</xdr:col>
      <xdr:colOff>14894</xdr:colOff>
      <xdr:row>76</xdr:row>
      <xdr:rowOff>80516</xdr:rowOff>
    </xdr:from>
    <xdr:ext cx="1097024" cy="298864"/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7D66BA55-69FB-4D41-96F7-D22C94AFC644}"/>
            </a:ext>
          </a:extLst>
        </xdr:cNvPr>
        <xdr:cNvSpPr txBox="1"/>
      </xdr:nvSpPr>
      <xdr:spPr>
        <a:xfrm>
          <a:off x="38274914" y="2116505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188</xdr:col>
      <xdr:colOff>45027</xdr:colOff>
      <xdr:row>76</xdr:row>
      <xdr:rowOff>230331</xdr:rowOff>
    </xdr:from>
    <xdr:ext cx="1000125" cy="426603"/>
    <xdr:sp macro="" textlink="">
      <xdr:nvSpPr>
        <xdr:cNvPr id="141" name="Text Box 327">
          <a:extLst>
            <a:ext uri="{FF2B5EF4-FFF2-40B4-BE49-F238E27FC236}">
              <a16:creationId xmlns:a16="http://schemas.microsoft.com/office/drawing/2014/main" id="{F771EEE1-A745-424B-B7B0-AD92AF61B707}"/>
            </a:ext>
          </a:extLst>
        </xdr:cNvPr>
        <xdr:cNvSpPr txBox="1">
          <a:spLocks noChangeArrowheads="1"/>
        </xdr:cNvSpPr>
      </xdr:nvSpPr>
      <xdr:spPr bwMode="auto">
        <a:xfrm flipH="1">
          <a:off x="21121947" y="21314871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215</xdr:col>
      <xdr:colOff>16163</xdr:colOff>
      <xdr:row>77</xdr:row>
      <xdr:rowOff>54119</xdr:rowOff>
    </xdr:from>
    <xdr:to>
      <xdr:col>216</xdr:col>
      <xdr:colOff>293171</xdr:colOff>
      <xdr:row>78</xdr:row>
      <xdr:rowOff>159266</xdr:rowOff>
    </xdr:to>
    <xdr:sp macro="" textlink="">
      <xdr:nvSpPr>
        <xdr:cNvPr id="142" name="テキスト ボックス 1611">
          <a:extLst>
            <a:ext uri="{FF2B5EF4-FFF2-40B4-BE49-F238E27FC236}">
              <a16:creationId xmlns:a16="http://schemas.microsoft.com/office/drawing/2014/main" id="{911889CA-9482-4C0F-9EA8-74B8C54F902A}"/>
            </a:ext>
          </a:extLst>
        </xdr:cNvPr>
        <xdr:cNvSpPr txBox="1">
          <a:spLocks noChangeAspect="1"/>
        </xdr:cNvSpPr>
      </xdr:nvSpPr>
      <xdr:spPr>
        <a:xfrm>
          <a:off x="29528423" y="21374879"/>
          <a:ext cx="589428" cy="341367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201</xdr:col>
      <xdr:colOff>277091</xdr:colOff>
      <xdr:row>81</xdr:row>
      <xdr:rowOff>190500</xdr:rowOff>
    </xdr:from>
    <xdr:to>
      <xdr:col>204</xdr:col>
      <xdr:colOff>47915</xdr:colOff>
      <xdr:row>83</xdr:row>
      <xdr:rowOff>217133</xdr:rowOff>
    </xdr:to>
    <xdr:sp macro="" textlink="">
      <xdr:nvSpPr>
        <xdr:cNvPr id="143" name="Text Box 327">
          <a:extLst>
            <a:ext uri="{FF2B5EF4-FFF2-40B4-BE49-F238E27FC236}">
              <a16:creationId xmlns:a16="http://schemas.microsoft.com/office/drawing/2014/main" id="{DB562BEC-6115-48D4-BBF0-BF9455331934}"/>
            </a:ext>
          </a:extLst>
        </xdr:cNvPr>
        <xdr:cNvSpPr txBox="1">
          <a:spLocks noChangeArrowheads="1"/>
        </xdr:cNvSpPr>
      </xdr:nvSpPr>
      <xdr:spPr bwMode="auto">
        <a:xfrm>
          <a:off x="25415471" y="22989540"/>
          <a:ext cx="708084" cy="49907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241</xdr:col>
      <xdr:colOff>69273</xdr:colOff>
      <xdr:row>81</xdr:row>
      <xdr:rowOff>138545</xdr:rowOff>
    </xdr:from>
    <xdr:to>
      <xdr:col>243</xdr:col>
      <xdr:colOff>151823</xdr:colOff>
      <xdr:row>83</xdr:row>
      <xdr:rowOff>168353</xdr:rowOff>
    </xdr:to>
    <xdr:sp macro="" textlink="">
      <xdr:nvSpPr>
        <xdr:cNvPr id="144" name="Text Box 327">
          <a:extLst>
            <a:ext uri="{FF2B5EF4-FFF2-40B4-BE49-F238E27FC236}">
              <a16:creationId xmlns:a16="http://schemas.microsoft.com/office/drawing/2014/main" id="{52436E92-F7DA-47B2-AF7F-7F0DDFAB5BF8}"/>
            </a:ext>
          </a:extLst>
        </xdr:cNvPr>
        <xdr:cNvSpPr txBox="1">
          <a:spLocks noChangeArrowheads="1"/>
        </xdr:cNvSpPr>
      </xdr:nvSpPr>
      <xdr:spPr bwMode="auto">
        <a:xfrm>
          <a:off x="37704453" y="22937585"/>
          <a:ext cx="707390" cy="50224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oneCellAnchor>
    <xdr:from>
      <xdr:col>159</xdr:col>
      <xdr:colOff>254000</xdr:colOff>
      <xdr:row>27</xdr:row>
      <xdr:rowOff>43408</xdr:rowOff>
    </xdr:from>
    <xdr:ext cx="2541539" cy="298864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18FE498-E128-4FC8-8642-8539CDA07A46}"/>
            </a:ext>
          </a:extLst>
        </xdr:cNvPr>
        <xdr:cNvSpPr txBox="1"/>
      </xdr:nvSpPr>
      <xdr:spPr>
        <a:xfrm>
          <a:off x="12270740" y="7183348"/>
          <a:ext cx="2541539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MZZ/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ハンドブレーキ仕様除く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166</xdr:col>
      <xdr:colOff>256310</xdr:colOff>
      <xdr:row>32</xdr:row>
      <xdr:rowOff>11080</xdr:rowOff>
    </xdr:from>
    <xdr:ext cx="2195175" cy="298864"/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EE99BC87-1FD1-4416-BA0E-924F16CED4BC}"/>
            </a:ext>
          </a:extLst>
        </xdr:cNvPr>
        <xdr:cNvSpPr txBox="1"/>
      </xdr:nvSpPr>
      <xdr:spPr>
        <a:xfrm>
          <a:off x="14459990" y="8484520"/>
          <a:ext cx="2195175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MZZ/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ハンドブレーキ仕様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181</xdr:col>
      <xdr:colOff>113433</xdr:colOff>
      <xdr:row>30</xdr:row>
      <xdr:rowOff>191818</xdr:rowOff>
    </xdr:from>
    <xdr:to>
      <xdr:col>183</xdr:col>
      <xdr:colOff>70426</xdr:colOff>
      <xdr:row>33</xdr:row>
      <xdr:rowOff>45026</xdr:rowOff>
    </xdr:to>
    <xdr:sp macro="" textlink="">
      <xdr:nvSpPr>
        <xdr:cNvPr id="147" name="Text Box 327">
          <a:extLst>
            <a:ext uri="{FF2B5EF4-FFF2-40B4-BE49-F238E27FC236}">
              <a16:creationId xmlns:a16="http://schemas.microsoft.com/office/drawing/2014/main" id="{8AADC04F-9536-4F26-B47C-576DA75E8427}"/>
            </a:ext>
          </a:extLst>
        </xdr:cNvPr>
        <xdr:cNvSpPr txBox="1">
          <a:spLocks noChangeArrowheads="1"/>
        </xdr:cNvSpPr>
      </xdr:nvSpPr>
      <xdr:spPr bwMode="auto">
        <a:xfrm>
          <a:off x="19003413" y="8131858"/>
          <a:ext cx="581833" cy="65330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180</xdr:col>
      <xdr:colOff>15040</xdr:colOff>
      <xdr:row>158</xdr:row>
      <xdr:rowOff>444</xdr:rowOff>
    </xdr:from>
    <xdr:to>
      <xdr:col>183</xdr:col>
      <xdr:colOff>34637</xdr:colOff>
      <xdr:row>160</xdr:row>
      <xdr:rowOff>207819</xdr:rowOff>
    </xdr:to>
    <xdr:sp macro="" textlink="">
      <xdr:nvSpPr>
        <xdr:cNvPr id="148" name="Text Box 327">
          <a:extLst>
            <a:ext uri="{FF2B5EF4-FFF2-40B4-BE49-F238E27FC236}">
              <a16:creationId xmlns:a16="http://schemas.microsoft.com/office/drawing/2014/main" id="{B2FE9D83-1FF6-42D6-84CE-525D14A158A4}"/>
            </a:ext>
          </a:extLst>
        </xdr:cNvPr>
        <xdr:cNvSpPr txBox="1">
          <a:spLocks noChangeArrowheads="1"/>
        </xdr:cNvSpPr>
      </xdr:nvSpPr>
      <xdr:spPr bwMode="auto">
        <a:xfrm>
          <a:off x="18592600" y="43472544"/>
          <a:ext cx="956857" cy="679815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2X: 4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3X: 2</a:t>
          </a:r>
        </a:p>
      </xdr:txBody>
    </xdr:sp>
    <xdr:clientData/>
  </xdr:twoCellAnchor>
  <xdr:twoCellAnchor>
    <xdr:from>
      <xdr:col>195</xdr:col>
      <xdr:colOff>1155</xdr:colOff>
      <xdr:row>31</xdr:row>
      <xdr:rowOff>2</xdr:rowOff>
    </xdr:from>
    <xdr:to>
      <xdr:col>195</xdr:col>
      <xdr:colOff>284496</xdr:colOff>
      <xdr:row>32</xdr:row>
      <xdr:rowOff>211765</xdr:rowOff>
    </xdr:to>
    <xdr:sp macro="" textlink="">
      <xdr:nvSpPr>
        <xdr:cNvPr id="149" name="AutoShape 332">
          <a:extLst>
            <a:ext uri="{FF2B5EF4-FFF2-40B4-BE49-F238E27FC236}">
              <a16:creationId xmlns:a16="http://schemas.microsoft.com/office/drawing/2014/main" id="{00554FAD-24E5-4849-99E9-45C99646725E}"/>
            </a:ext>
          </a:extLst>
        </xdr:cNvPr>
        <xdr:cNvSpPr>
          <a:spLocks noChangeArrowheads="1"/>
        </xdr:cNvSpPr>
      </xdr:nvSpPr>
      <xdr:spPr bwMode="auto">
        <a:xfrm rot="5400000">
          <a:off x="23167454" y="8304303"/>
          <a:ext cx="478463" cy="283341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191</xdr:col>
      <xdr:colOff>69273</xdr:colOff>
      <xdr:row>30</xdr:row>
      <xdr:rowOff>103620</xdr:rowOff>
    </xdr:from>
    <xdr:to>
      <xdr:col>197</xdr:col>
      <xdr:colOff>44739</xdr:colOff>
      <xdr:row>33</xdr:row>
      <xdr:rowOff>172893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52125BB9-D3E5-49E2-A41C-EA21E2D51C5A}"/>
            </a:ext>
          </a:extLst>
        </xdr:cNvPr>
        <xdr:cNvSpPr/>
      </xdr:nvSpPr>
      <xdr:spPr>
        <a:xfrm>
          <a:off x="22083453" y="8043660"/>
          <a:ext cx="1849986" cy="869373"/>
        </a:xfrm>
        <a:prstGeom prst="rect">
          <a:avLst/>
        </a:prstGeom>
        <a:solidFill>
          <a:schemeClr val="bg1">
            <a:lumMod val="65000"/>
            <a:alpha val="50196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1600" b="1">
              <a:solidFill>
                <a:srgbClr val="FF0000"/>
              </a:solidFill>
            </a:rPr>
            <a:t>調整中</a:t>
          </a:r>
        </a:p>
      </xdr:txBody>
    </xdr:sp>
    <xdr:clientData/>
  </xdr:twoCellAnchor>
  <xdr:twoCellAnchor>
    <xdr:from>
      <xdr:col>194</xdr:col>
      <xdr:colOff>0</xdr:colOff>
      <xdr:row>162</xdr:row>
      <xdr:rowOff>234658</xdr:rowOff>
    </xdr:from>
    <xdr:to>
      <xdr:col>196</xdr:col>
      <xdr:colOff>69272</xdr:colOff>
      <xdr:row>164</xdr:row>
      <xdr:rowOff>234659</xdr:rowOff>
    </xdr:to>
    <xdr:sp macro="" textlink="">
      <xdr:nvSpPr>
        <xdr:cNvPr id="151" name="Text Box 327">
          <a:extLst>
            <a:ext uri="{FF2B5EF4-FFF2-40B4-BE49-F238E27FC236}">
              <a16:creationId xmlns:a16="http://schemas.microsoft.com/office/drawing/2014/main" id="{7C100E35-9340-43B0-9348-02B513DF9212}"/>
            </a:ext>
          </a:extLst>
        </xdr:cNvPr>
        <xdr:cNvSpPr txBox="1">
          <a:spLocks noChangeArrowheads="1"/>
        </xdr:cNvSpPr>
      </xdr:nvSpPr>
      <xdr:spPr bwMode="auto">
        <a:xfrm>
          <a:off x="22951440" y="44666878"/>
          <a:ext cx="694112" cy="472441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211</xdr:col>
      <xdr:colOff>270265</xdr:colOff>
      <xdr:row>162</xdr:row>
      <xdr:rowOff>234658</xdr:rowOff>
    </xdr:from>
    <xdr:to>
      <xdr:col>213</xdr:col>
      <xdr:colOff>245773</xdr:colOff>
      <xdr:row>164</xdr:row>
      <xdr:rowOff>234659</xdr:rowOff>
    </xdr:to>
    <xdr:sp macro="" textlink="">
      <xdr:nvSpPr>
        <xdr:cNvPr id="152" name="Text Box 327">
          <a:extLst>
            <a:ext uri="{FF2B5EF4-FFF2-40B4-BE49-F238E27FC236}">
              <a16:creationId xmlns:a16="http://schemas.microsoft.com/office/drawing/2014/main" id="{CEFC438D-9C88-46D7-AD51-2739606B5CDF}"/>
            </a:ext>
          </a:extLst>
        </xdr:cNvPr>
        <xdr:cNvSpPr txBox="1">
          <a:spLocks noChangeArrowheads="1"/>
        </xdr:cNvSpPr>
      </xdr:nvSpPr>
      <xdr:spPr bwMode="auto">
        <a:xfrm>
          <a:off x="28532845" y="44666878"/>
          <a:ext cx="600348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oneCellAnchor>
    <xdr:from>
      <xdr:col>230</xdr:col>
      <xdr:colOff>10739</xdr:colOff>
      <xdr:row>162</xdr:row>
      <xdr:rowOff>220806</xdr:rowOff>
    </xdr:from>
    <xdr:ext cx="278946" cy="471054"/>
    <xdr:sp macro="" textlink="">
      <xdr:nvSpPr>
        <xdr:cNvPr id="153" name="AutoShape 332">
          <a:extLst>
            <a:ext uri="{FF2B5EF4-FFF2-40B4-BE49-F238E27FC236}">
              <a16:creationId xmlns:a16="http://schemas.microsoft.com/office/drawing/2014/main" id="{EB7F79E5-F0CC-4C4C-9964-D8BBE57C2119}"/>
            </a:ext>
          </a:extLst>
        </xdr:cNvPr>
        <xdr:cNvSpPr>
          <a:spLocks noChangeArrowheads="1"/>
        </xdr:cNvSpPr>
      </xdr:nvSpPr>
      <xdr:spPr bwMode="auto">
        <a:xfrm rot="5400000">
          <a:off x="34113245" y="44749080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189</xdr:col>
      <xdr:colOff>197756</xdr:colOff>
      <xdr:row>169</xdr:row>
      <xdr:rowOff>1</xdr:rowOff>
    </xdr:from>
    <xdr:to>
      <xdr:col>191</xdr:col>
      <xdr:colOff>179614</xdr:colOff>
      <xdr:row>171</xdr:row>
      <xdr:rowOff>1</xdr:rowOff>
    </xdr:to>
    <xdr:sp macro="" textlink="">
      <xdr:nvSpPr>
        <xdr:cNvPr id="154" name="Text Box 327">
          <a:extLst>
            <a:ext uri="{FF2B5EF4-FFF2-40B4-BE49-F238E27FC236}">
              <a16:creationId xmlns:a16="http://schemas.microsoft.com/office/drawing/2014/main" id="{ED5D260F-B911-4715-A440-D09BA501354F}"/>
            </a:ext>
          </a:extLst>
        </xdr:cNvPr>
        <xdr:cNvSpPr txBox="1">
          <a:spLocks noChangeArrowheads="1"/>
        </xdr:cNvSpPr>
      </xdr:nvSpPr>
      <xdr:spPr bwMode="auto">
        <a:xfrm>
          <a:off x="21587096" y="46101001"/>
          <a:ext cx="606698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215</xdr:col>
      <xdr:colOff>202912</xdr:colOff>
      <xdr:row>169</xdr:row>
      <xdr:rowOff>0</xdr:rowOff>
    </xdr:from>
    <xdr:to>
      <xdr:col>217</xdr:col>
      <xdr:colOff>191119</xdr:colOff>
      <xdr:row>171</xdr:row>
      <xdr:rowOff>0</xdr:rowOff>
    </xdr:to>
    <xdr:sp macro="" textlink="">
      <xdr:nvSpPr>
        <xdr:cNvPr id="155" name="Text Box 327">
          <a:extLst>
            <a:ext uri="{FF2B5EF4-FFF2-40B4-BE49-F238E27FC236}">
              <a16:creationId xmlns:a16="http://schemas.microsoft.com/office/drawing/2014/main" id="{ECF17B42-BF1E-4E0D-AB3A-FEE2A68167CE}"/>
            </a:ext>
          </a:extLst>
        </xdr:cNvPr>
        <xdr:cNvSpPr txBox="1">
          <a:spLocks noChangeArrowheads="1"/>
        </xdr:cNvSpPr>
      </xdr:nvSpPr>
      <xdr:spPr bwMode="auto">
        <a:xfrm>
          <a:off x="29715172" y="46101000"/>
          <a:ext cx="613047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247</xdr:col>
      <xdr:colOff>9649</xdr:colOff>
      <xdr:row>168</xdr:row>
      <xdr:rowOff>234043</xdr:rowOff>
    </xdr:from>
    <xdr:ext cx="278946" cy="471054"/>
    <xdr:sp macro="" textlink="">
      <xdr:nvSpPr>
        <xdr:cNvPr id="156" name="AutoShape 332">
          <a:extLst>
            <a:ext uri="{FF2B5EF4-FFF2-40B4-BE49-F238E27FC236}">
              <a16:creationId xmlns:a16="http://schemas.microsoft.com/office/drawing/2014/main" id="{153ABE23-AC09-4872-A333-44AD43552F50}"/>
            </a:ext>
          </a:extLst>
        </xdr:cNvPr>
        <xdr:cNvSpPr>
          <a:spLocks noChangeArrowheads="1"/>
        </xdr:cNvSpPr>
      </xdr:nvSpPr>
      <xdr:spPr bwMode="auto">
        <a:xfrm rot="5400000">
          <a:off x="39423295" y="46194877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149</xdr:col>
      <xdr:colOff>133350</xdr:colOff>
      <xdr:row>117</xdr:row>
      <xdr:rowOff>223656</xdr:rowOff>
    </xdr:from>
    <xdr:to>
      <xdr:col>232</xdr:col>
      <xdr:colOff>1</xdr:colOff>
      <xdr:row>117</xdr:row>
      <xdr:rowOff>234328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id="{A48DF0A1-00F6-41FB-9097-35B01707A896}"/>
            </a:ext>
          </a:extLst>
        </xdr:cNvPr>
        <xdr:cNvCxnSpPr>
          <a:cxnSpLocks/>
          <a:endCxn id="167" idx="3"/>
        </xdr:cNvCxnSpPr>
      </xdr:nvCxnSpPr>
      <xdr:spPr>
        <a:xfrm>
          <a:off x="9025890" y="33492576"/>
          <a:ext cx="25797511" cy="10672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266700</xdr:colOff>
      <xdr:row>111</xdr:row>
      <xdr:rowOff>202580</xdr:rowOff>
    </xdr:from>
    <xdr:to>
      <xdr:col>223</xdr:col>
      <xdr:colOff>158751</xdr:colOff>
      <xdr:row>111</xdr:row>
      <xdr:rowOff>210956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F2B911AA-D25A-4253-9AE4-9DDEDFB200F0}"/>
            </a:ext>
          </a:extLst>
        </xdr:cNvPr>
        <xdr:cNvCxnSpPr>
          <a:cxnSpLocks/>
          <a:endCxn id="163" idx="3"/>
        </xdr:cNvCxnSpPr>
      </xdr:nvCxnSpPr>
      <xdr:spPr>
        <a:xfrm flipV="1">
          <a:off x="4785360" y="31764620"/>
          <a:ext cx="27385011" cy="837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148</xdr:col>
      <xdr:colOff>285750</xdr:colOff>
      <xdr:row>122</xdr:row>
      <xdr:rowOff>223656</xdr:rowOff>
    </xdr:from>
    <xdr:to>
      <xdr:col>230</xdr:col>
      <xdr:colOff>100013</xdr:colOff>
      <xdr:row>122</xdr:row>
      <xdr:rowOff>223656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7F354083-4A32-4B26-8B6F-56BB24165871}"/>
            </a:ext>
          </a:extLst>
        </xdr:cNvPr>
        <xdr:cNvCxnSpPr>
          <a:cxnSpLocks/>
        </xdr:cNvCxnSpPr>
      </xdr:nvCxnSpPr>
      <xdr:spPr>
        <a:xfrm>
          <a:off x="8865870" y="34734636"/>
          <a:ext cx="2543270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230</xdr:col>
      <xdr:colOff>13431</xdr:colOff>
      <xdr:row>121</xdr:row>
      <xdr:rowOff>154292</xdr:rowOff>
    </xdr:from>
    <xdr:to>
      <xdr:col>231</xdr:col>
      <xdr:colOff>111124</xdr:colOff>
      <xdr:row>123</xdr:row>
      <xdr:rowOff>238126</xdr:rowOff>
    </xdr:to>
    <xdr:sp macro="" textlink="">
      <xdr:nvSpPr>
        <xdr:cNvPr id="160" name="AutoShape 332">
          <a:extLst>
            <a:ext uri="{FF2B5EF4-FFF2-40B4-BE49-F238E27FC236}">
              <a16:creationId xmlns:a16="http://schemas.microsoft.com/office/drawing/2014/main" id="{B57067E6-5C55-413B-A4AD-A61F15C55A55}"/>
            </a:ext>
          </a:extLst>
        </xdr:cNvPr>
        <xdr:cNvSpPr>
          <a:spLocks noChangeArrowheads="1"/>
        </xdr:cNvSpPr>
      </xdr:nvSpPr>
      <xdr:spPr bwMode="auto">
        <a:xfrm rot="5400000">
          <a:off x="34138911" y="34502132"/>
          <a:ext cx="556274" cy="41011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230</xdr:col>
      <xdr:colOff>223331</xdr:colOff>
      <xdr:row>121</xdr:row>
      <xdr:rowOff>116926</xdr:rowOff>
    </xdr:from>
    <xdr:ext cx="1097024" cy="298864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F63AB49D-0925-49BC-9385-2860470D42C1}"/>
            </a:ext>
          </a:extLst>
        </xdr:cNvPr>
        <xdr:cNvSpPr txBox="1"/>
      </xdr:nvSpPr>
      <xdr:spPr>
        <a:xfrm>
          <a:off x="34421891" y="3439168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184</xdr:col>
      <xdr:colOff>269874</xdr:colOff>
      <xdr:row>111</xdr:row>
      <xdr:rowOff>15875</xdr:rowOff>
    </xdr:from>
    <xdr:ext cx="1000125" cy="571500"/>
    <xdr:sp macro="" textlink="">
      <xdr:nvSpPr>
        <xdr:cNvPr id="162" name="Text Box 327">
          <a:extLst>
            <a:ext uri="{FF2B5EF4-FFF2-40B4-BE49-F238E27FC236}">
              <a16:creationId xmlns:a16="http://schemas.microsoft.com/office/drawing/2014/main" id="{5FE661BB-B96A-41D2-8618-57B0239B32C1}"/>
            </a:ext>
          </a:extLst>
        </xdr:cNvPr>
        <xdr:cNvSpPr txBox="1">
          <a:spLocks noChangeArrowheads="1"/>
        </xdr:cNvSpPr>
      </xdr:nvSpPr>
      <xdr:spPr bwMode="auto">
        <a:xfrm flipH="1">
          <a:off x="20097114" y="31577915"/>
          <a:ext cx="1000125" cy="5715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(17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twoCellAnchor>
    <xdr:from>
      <xdr:col>223</xdr:col>
      <xdr:colOff>158750</xdr:colOff>
      <xdr:row>110</xdr:row>
      <xdr:rowOff>222252</xdr:rowOff>
    </xdr:from>
    <xdr:to>
      <xdr:col>224</xdr:col>
      <xdr:colOff>145317</xdr:colOff>
      <xdr:row>111</xdr:row>
      <xdr:rowOff>436908</xdr:rowOff>
    </xdr:to>
    <xdr:sp macro="" textlink="">
      <xdr:nvSpPr>
        <xdr:cNvPr id="163" name="AutoShape 332">
          <a:extLst>
            <a:ext uri="{FF2B5EF4-FFF2-40B4-BE49-F238E27FC236}">
              <a16:creationId xmlns:a16="http://schemas.microsoft.com/office/drawing/2014/main" id="{5BF6856D-8FDB-4A73-AA5A-174C7BE9E426}"/>
            </a:ext>
          </a:extLst>
        </xdr:cNvPr>
        <xdr:cNvSpPr>
          <a:spLocks noChangeArrowheads="1"/>
        </xdr:cNvSpPr>
      </xdr:nvSpPr>
      <xdr:spPr bwMode="auto">
        <a:xfrm rot="5400000">
          <a:off x="32090616" y="31620206"/>
          <a:ext cx="458496" cy="2989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224</xdr:col>
      <xdr:colOff>95250</xdr:colOff>
      <xdr:row>110</xdr:row>
      <xdr:rowOff>174625</xdr:rowOff>
    </xdr:from>
    <xdr:ext cx="1097024" cy="298864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9387F70D-83FB-49BD-86E8-FA99E474A00D}"/>
            </a:ext>
          </a:extLst>
        </xdr:cNvPr>
        <xdr:cNvSpPr txBox="1"/>
      </xdr:nvSpPr>
      <xdr:spPr>
        <a:xfrm>
          <a:off x="32419290" y="3149282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210</xdr:col>
      <xdr:colOff>238125</xdr:colOff>
      <xdr:row>111</xdr:row>
      <xdr:rowOff>15875</xdr:rowOff>
    </xdr:from>
    <xdr:ext cx="1000125" cy="571500"/>
    <xdr:sp macro="" textlink="">
      <xdr:nvSpPr>
        <xdr:cNvPr id="165" name="Text Box 327">
          <a:extLst>
            <a:ext uri="{FF2B5EF4-FFF2-40B4-BE49-F238E27FC236}">
              <a16:creationId xmlns:a16="http://schemas.microsoft.com/office/drawing/2014/main" id="{740E00E5-262C-4218-8831-1EF50A2C3FE8}"/>
            </a:ext>
          </a:extLst>
        </xdr:cNvPr>
        <xdr:cNvSpPr txBox="1">
          <a:spLocks noChangeArrowheads="1"/>
        </xdr:cNvSpPr>
      </xdr:nvSpPr>
      <xdr:spPr bwMode="auto">
        <a:xfrm flipH="1">
          <a:off x="28188285" y="31577915"/>
          <a:ext cx="1000125" cy="5715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189</xdr:col>
      <xdr:colOff>127000</xdr:colOff>
      <xdr:row>116</xdr:row>
      <xdr:rowOff>190500</xdr:rowOff>
    </xdr:from>
    <xdr:ext cx="1000125" cy="571500"/>
    <xdr:sp macro="" textlink="">
      <xdr:nvSpPr>
        <xdr:cNvPr id="166" name="Text Box 327">
          <a:extLst>
            <a:ext uri="{FF2B5EF4-FFF2-40B4-BE49-F238E27FC236}">
              <a16:creationId xmlns:a16="http://schemas.microsoft.com/office/drawing/2014/main" id="{1BAE31D4-E74A-4AAE-BA32-D57AE22CEC82}"/>
            </a:ext>
          </a:extLst>
        </xdr:cNvPr>
        <xdr:cNvSpPr txBox="1">
          <a:spLocks noChangeArrowheads="1"/>
        </xdr:cNvSpPr>
      </xdr:nvSpPr>
      <xdr:spPr bwMode="auto">
        <a:xfrm flipH="1">
          <a:off x="21516340" y="33223200"/>
          <a:ext cx="1000125" cy="5715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232</xdr:col>
      <xdr:colOff>0</xdr:colOff>
      <xdr:row>117</xdr:row>
      <xdr:rowOff>0</xdr:rowOff>
    </xdr:from>
    <xdr:to>
      <xdr:col>232</xdr:col>
      <xdr:colOff>304067</xdr:colOff>
      <xdr:row>118</xdr:row>
      <xdr:rowOff>214656</xdr:rowOff>
    </xdr:to>
    <xdr:sp macro="" textlink="">
      <xdr:nvSpPr>
        <xdr:cNvPr id="167" name="AutoShape 332">
          <a:extLst>
            <a:ext uri="{FF2B5EF4-FFF2-40B4-BE49-F238E27FC236}">
              <a16:creationId xmlns:a16="http://schemas.microsoft.com/office/drawing/2014/main" id="{1A7FC043-04FB-4F90-B5F3-589C11FF9A07}"/>
            </a:ext>
          </a:extLst>
        </xdr:cNvPr>
        <xdr:cNvSpPr>
          <a:spLocks noChangeArrowheads="1"/>
        </xdr:cNvSpPr>
      </xdr:nvSpPr>
      <xdr:spPr bwMode="auto">
        <a:xfrm rot="5400000">
          <a:off x="34749996" y="33342324"/>
          <a:ext cx="450876" cy="30406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232</xdr:col>
      <xdr:colOff>95250</xdr:colOff>
      <xdr:row>116</xdr:row>
      <xdr:rowOff>142875</xdr:rowOff>
    </xdr:from>
    <xdr:ext cx="1097024" cy="298864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3AAF7402-AA3A-4B14-822F-173491AF9782}"/>
            </a:ext>
          </a:extLst>
        </xdr:cNvPr>
        <xdr:cNvSpPr txBox="1"/>
      </xdr:nvSpPr>
      <xdr:spPr>
        <a:xfrm>
          <a:off x="34918650" y="3317557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218</xdr:col>
      <xdr:colOff>254000</xdr:colOff>
      <xdr:row>116</xdr:row>
      <xdr:rowOff>174625</xdr:rowOff>
    </xdr:from>
    <xdr:ext cx="666750" cy="523875"/>
    <xdr:sp macro="" textlink="">
      <xdr:nvSpPr>
        <xdr:cNvPr id="169" name="Text Box 327">
          <a:extLst>
            <a:ext uri="{FF2B5EF4-FFF2-40B4-BE49-F238E27FC236}">
              <a16:creationId xmlns:a16="http://schemas.microsoft.com/office/drawing/2014/main" id="{072E60BB-749B-4496-90B3-9BAFDA1623BA}"/>
            </a:ext>
          </a:extLst>
        </xdr:cNvPr>
        <xdr:cNvSpPr txBox="1">
          <a:spLocks noChangeArrowheads="1"/>
        </xdr:cNvSpPr>
      </xdr:nvSpPr>
      <xdr:spPr bwMode="auto">
        <a:xfrm flipH="1">
          <a:off x="30703520" y="33207325"/>
          <a:ext cx="666750" cy="523875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187</xdr:col>
      <xdr:colOff>0</xdr:colOff>
      <xdr:row>122</xdr:row>
      <xdr:rowOff>47625</xdr:rowOff>
    </xdr:from>
    <xdr:ext cx="1000125" cy="426603"/>
    <xdr:sp macro="" textlink="">
      <xdr:nvSpPr>
        <xdr:cNvPr id="170" name="Text Box 327">
          <a:extLst>
            <a:ext uri="{FF2B5EF4-FFF2-40B4-BE49-F238E27FC236}">
              <a16:creationId xmlns:a16="http://schemas.microsoft.com/office/drawing/2014/main" id="{FB51AB3F-7F2C-4B7F-9D15-187CA0A34156}"/>
            </a:ext>
          </a:extLst>
        </xdr:cNvPr>
        <xdr:cNvSpPr txBox="1">
          <a:spLocks noChangeArrowheads="1"/>
        </xdr:cNvSpPr>
      </xdr:nvSpPr>
      <xdr:spPr bwMode="auto">
        <a:xfrm flipH="1">
          <a:off x="20764500" y="34558605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215</xdr:col>
      <xdr:colOff>47625</xdr:colOff>
      <xdr:row>122</xdr:row>
      <xdr:rowOff>0</xdr:rowOff>
    </xdr:from>
    <xdr:ext cx="666750" cy="523875"/>
    <xdr:sp macro="" textlink="">
      <xdr:nvSpPr>
        <xdr:cNvPr id="171" name="Text Box 327">
          <a:extLst>
            <a:ext uri="{FF2B5EF4-FFF2-40B4-BE49-F238E27FC236}">
              <a16:creationId xmlns:a16="http://schemas.microsoft.com/office/drawing/2014/main" id="{6769BE61-3723-4D6C-A05F-5EEE2CBD3368}"/>
            </a:ext>
          </a:extLst>
        </xdr:cNvPr>
        <xdr:cNvSpPr txBox="1">
          <a:spLocks noChangeArrowheads="1"/>
        </xdr:cNvSpPr>
      </xdr:nvSpPr>
      <xdr:spPr bwMode="auto">
        <a:xfrm flipH="1">
          <a:off x="29559885" y="34510980"/>
          <a:ext cx="666750" cy="523875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168</xdr:col>
      <xdr:colOff>92364</xdr:colOff>
      <xdr:row>13</xdr:row>
      <xdr:rowOff>11548</xdr:rowOff>
    </xdr:from>
    <xdr:ext cx="2574636" cy="657937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352A6D0C-0593-4F67-90E7-33C1336BE203}"/>
            </a:ext>
          </a:extLst>
        </xdr:cNvPr>
        <xdr:cNvSpPr txBox="1"/>
      </xdr:nvSpPr>
      <xdr:spPr>
        <a:xfrm>
          <a:off x="14920884" y="3417688"/>
          <a:ext cx="2574636" cy="657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STEP1</a:t>
          </a:r>
        </a:p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(ADAS</a:t>
          </a:r>
          <a:r>
            <a:rPr kumimoji="1" lang="en-US" altLang="ja-JP" sz="1400" b="1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PACK1&amp;2</a:t>
          </a:r>
        </a:p>
        <a:p>
          <a:pPr algn="l">
            <a:lnSpc>
              <a:spcPts val="1400"/>
            </a:lnSpc>
          </a:pP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AT&amp;AMT)</a:t>
          </a:r>
        </a:p>
      </xdr:txBody>
    </xdr:sp>
    <xdr:clientData/>
  </xdr:oneCellAnchor>
  <xdr:oneCellAnchor>
    <xdr:from>
      <xdr:col>180</xdr:col>
      <xdr:colOff>132195</xdr:colOff>
      <xdr:row>15</xdr:row>
      <xdr:rowOff>206417</xdr:rowOff>
    </xdr:from>
    <xdr:ext cx="3068782" cy="657937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75884B6D-834F-4793-B1B2-9C94D0CE3E07}"/>
            </a:ext>
          </a:extLst>
        </xdr:cNvPr>
        <xdr:cNvSpPr txBox="1"/>
      </xdr:nvSpPr>
      <xdr:spPr>
        <a:xfrm>
          <a:off x="18709755" y="4145957"/>
          <a:ext cx="3068782" cy="657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STEP2</a:t>
          </a:r>
        </a:p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(ADAS PACK1&amp;2 MT/</a:t>
          </a:r>
        </a:p>
        <a:p>
          <a:pPr algn="l">
            <a:lnSpc>
              <a:spcPts val="1400"/>
            </a:lnSpc>
          </a:pP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ADAS PACK3&amp;4)</a:t>
          </a:r>
        </a:p>
      </xdr:txBody>
    </xdr:sp>
    <xdr:clientData/>
  </xdr:oneCellAnchor>
  <xdr:twoCellAnchor>
    <xdr:from>
      <xdr:col>178</xdr:col>
      <xdr:colOff>290945</xdr:colOff>
      <xdr:row>176</xdr:row>
      <xdr:rowOff>5442</xdr:rowOff>
    </xdr:from>
    <xdr:to>
      <xdr:col>234</xdr:col>
      <xdr:colOff>9648</xdr:colOff>
      <xdr:row>176</xdr:row>
      <xdr:rowOff>6265</xdr:rowOff>
    </xdr:to>
    <xdr:cxnSp macro="">
      <xdr:nvCxnSpPr>
        <xdr:cNvPr id="174" name="直線コネクタ 173">
          <a:extLst>
            <a:ext uri="{FF2B5EF4-FFF2-40B4-BE49-F238E27FC236}">
              <a16:creationId xmlns:a16="http://schemas.microsoft.com/office/drawing/2014/main" id="{C8C60C4F-586F-4E80-B0D2-6756FDD920F0}"/>
            </a:ext>
          </a:extLst>
        </xdr:cNvPr>
        <xdr:cNvCxnSpPr>
          <a:cxnSpLocks/>
          <a:stCxn id="177" idx="3"/>
        </xdr:cNvCxnSpPr>
      </xdr:nvCxnSpPr>
      <xdr:spPr>
        <a:xfrm flipH="1">
          <a:off x="18243665" y="47775222"/>
          <a:ext cx="17214223" cy="823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204108</xdr:colOff>
      <xdr:row>175</xdr:row>
      <xdr:rowOff>-1</xdr:rowOff>
    </xdr:from>
    <xdr:to>
      <xdr:col>188</xdr:col>
      <xdr:colOff>41564</xdr:colOff>
      <xdr:row>177</xdr:row>
      <xdr:rowOff>0</xdr:rowOff>
    </xdr:to>
    <xdr:sp macro="" textlink="">
      <xdr:nvSpPr>
        <xdr:cNvPr id="175" name="Text Box 327">
          <a:extLst>
            <a:ext uri="{FF2B5EF4-FFF2-40B4-BE49-F238E27FC236}">
              <a16:creationId xmlns:a16="http://schemas.microsoft.com/office/drawing/2014/main" id="{D48CA190-5862-4EC3-A2B9-9C2E8EB99713}"/>
            </a:ext>
          </a:extLst>
        </xdr:cNvPr>
        <xdr:cNvSpPr txBox="1">
          <a:spLocks noChangeArrowheads="1"/>
        </xdr:cNvSpPr>
      </xdr:nvSpPr>
      <xdr:spPr bwMode="auto">
        <a:xfrm>
          <a:off x="20343768" y="47533559"/>
          <a:ext cx="774716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212</xdr:col>
      <xdr:colOff>0</xdr:colOff>
      <xdr:row>174</xdr:row>
      <xdr:rowOff>235526</xdr:rowOff>
    </xdr:from>
    <xdr:to>
      <xdr:col>214</xdr:col>
      <xdr:colOff>156110</xdr:colOff>
      <xdr:row>177</xdr:row>
      <xdr:rowOff>0</xdr:rowOff>
    </xdr:to>
    <xdr:sp macro="" textlink="">
      <xdr:nvSpPr>
        <xdr:cNvPr id="176" name="Text Box 327">
          <a:extLst>
            <a:ext uri="{FF2B5EF4-FFF2-40B4-BE49-F238E27FC236}">
              <a16:creationId xmlns:a16="http://schemas.microsoft.com/office/drawing/2014/main" id="{5DD0CFE1-231F-429C-8818-20E77D40AD42}"/>
            </a:ext>
          </a:extLst>
        </xdr:cNvPr>
        <xdr:cNvSpPr txBox="1">
          <a:spLocks noChangeArrowheads="1"/>
        </xdr:cNvSpPr>
      </xdr:nvSpPr>
      <xdr:spPr bwMode="auto">
        <a:xfrm>
          <a:off x="28575000" y="47532866"/>
          <a:ext cx="780950" cy="47313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234</xdr:col>
      <xdr:colOff>9648</xdr:colOff>
      <xdr:row>175</xdr:row>
      <xdr:rowOff>5443</xdr:rowOff>
    </xdr:from>
    <xdr:ext cx="278946" cy="471054"/>
    <xdr:sp macro="" textlink="">
      <xdr:nvSpPr>
        <xdr:cNvPr id="177" name="AutoShape 332">
          <a:extLst>
            <a:ext uri="{FF2B5EF4-FFF2-40B4-BE49-F238E27FC236}">
              <a16:creationId xmlns:a16="http://schemas.microsoft.com/office/drawing/2014/main" id="{58BF2055-C918-4542-83C1-9A6D09A92E96}"/>
            </a:ext>
          </a:extLst>
        </xdr:cNvPr>
        <xdr:cNvSpPr>
          <a:spLocks noChangeArrowheads="1"/>
        </xdr:cNvSpPr>
      </xdr:nvSpPr>
      <xdr:spPr bwMode="auto">
        <a:xfrm rot="5400000">
          <a:off x="35361834" y="47635057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180</xdr:col>
      <xdr:colOff>228600</xdr:colOff>
      <xdr:row>67</xdr:row>
      <xdr:rowOff>533400</xdr:rowOff>
    </xdr:from>
    <xdr:ext cx="1000125" cy="483753"/>
    <xdr:sp macro="" textlink="">
      <xdr:nvSpPr>
        <xdr:cNvPr id="178" name="Text Box 327">
          <a:extLst>
            <a:ext uri="{FF2B5EF4-FFF2-40B4-BE49-F238E27FC236}">
              <a16:creationId xmlns:a16="http://schemas.microsoft.com/office/drawing/2014/main" id="{F9CCE35F-8C71-427E-BF35-6F1D18E8958E}"/>
            </a:ext>
          </a:extLst>
        </xdr:cNvPr>
        <xdr:cNvSpPr txBox="1">
          <a:spLocks noChangeArrowheads="1"/>
        </xdr:cNvSpPr>
      </xdr:nvSpPr>
      <xdr:spPr bwMode="auto">
        <a:xfrm flipH="1">
          <a:off x="18806160" y="18425160"/>
          <a:ext cx="1000125" cy="48375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(E6)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172</xdr:col>
      <xdr:colOff>166758</xdr:colOff>
      <xdr:row>66</xdr:row>
      <xdr:rowOff>220515</xdr:rowOff>
    </xdr:from>
    <xdr:to>
      <xdr:col>182</xdr:col>
      <xdr:colOff>177800</xdr:colOff>
      <xdr:row>67</xdr:row>
      <xdr:rowOff>482601</xdr:rowOff>
    </xdr:to>
    <xdr:sp macro="" textlink="">
      <xdr:nvSpPr>
        <xdr:cNvPr id="179" name="矢印: 下カーブ 178">
          <a:extLst>
            <a:ext uri="{FF2B5EF4-FFF2-40B4-BE49-F238E27FC236}">
              <a16:creationId xmlns:a16="http://schemas.microsoft.com/office/drawing/2014/main" id="{E5E4019C-2296-43C1-BF41-4A838F4E8361}"/>
            </a:ext>
          </a:extLst>
        </xdr:cNvPr>
        <xdr:cNvSpPr/>
      </xdr:nvSpPr>
      <xdr:spPr>
        <a:xfrm>
          <a:off x="16244958" y="17876055"/>
          <a:ext cx="3135242" cy="498306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184</xdr:col>
      <xdr:colOff>203200</xdr:colOff>
      <xdr:row>66</xdr:row>
      <xdr:rowOff>101600</xdr:rowOff>
    </xdr:from>
    <xdr:ext cx="1000125" cy="554511"/>
    <xdr:sp macro="" textlink="">
      <xdr:nvSpPr>
        <xdr:cNvPr id="180" name="Text Box 327">
          <a:extLst>
            <a:ext uri="{FF2B5EF4-FFF2-40B4-BE49-F238E27FC236}">
              <a16:creationId xmlns:a16="http://schemas.microsoft.com/office/drawing/2014/main" id="{2E7CEE60-11D0-4BF9-B17B-D626D5E9E760}"/>
            </a:ext>
          </a:extLst>
        </xdr:cNvPr>
        <xdr:cNvSpPr txBox="1">
          <a:spLocks noChangeArrowheads="1"/>
        </xdr:cNvSpPr>
      </xdr:nvSpPr>
      <xdr:spPr bwMode="auto">
        <a:xfrm flipH="1">
          <a:off x="20030440" y="17757140"/>
          <a:ext cx="1000125" cy="554511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(E5)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189</xdr:col>
      <xdr:colOff>137431</xdr:colOff>
      <xdr:row>71</xdr:row>
      <xdr:rowOff>185964</xdr:rowOff>
    </xdr:from>
    <xdr:ext cx="1000125" cy="483753"/>
    <xdr:sp macro="" textlink="">
      <xdr:nvSpPr>
        <xdr:cNvPr id="181" name="Text Box 327">
          <a:extLst>
            <a:ext uri="{FF2B5EF4-FFF2-40B4-BE49-F238E27FC236}">
              <a16:creationId xmlns:a16="http://schemas.microsoft.com/office/drawing/2014/main" id="{7E91B2B3-F613-4E5F-AC5B-835778B480FF}"/>
            </a:ext>
          </a:extLst>
        </xdr:cNvPr>
        <xdr:cNvSpPr txBox="1">
          <a:spLocks noChangeArrowheads="1"/>
        </xdr:cNvSpPr>
      </xdr:nvSpPr>
      <xdr:spPr bwMode="auto">
        <a:xfrm flipH="1">
          <a:off x="21526771" y="19556004"/>
          <a:ext cx="1000125" cy="48375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184</xdr:col>
      <xdr:colOff>0</xdr:colOff>
      <xdr:row>70</xdr:row>
      <xdr:rowOff>0</xdr:rowOff>
    </xdr:from>
    <xdr:to>
      <xdr:col>191</xdr:col>
      <xdr:colOff>76200</xdr:colOff>
      <xdr:row>71</xdr:row>
      <xdr:rowOff>223986</xdr:rowOff>
    </xdr:to>
    <xdr:sp macro="" textlink="">
      <xdr:nvSpPr>
        <xdr:cNvPr id="182" name="矢印: 下カーブ 181">
          <a:extLst>
            <a:ext uri="{FF2B5EF4-FFF2-40B4-BE49-F238E27FC236}">
              <a16:creationId xmlns:a16="http://schemas.microsoft.com/office/drawing/2014/main" id="{554228EF-2EC2-4C8C-AF9E-D6921C36D1D9}"/>
            </a:ext>
          </a:extLst>
        </xdr:cNvPr>
        <xdr:cNvSpPr/>
      </xdr:nvSpPr>
      <xdr:spPr>
        <a:xfrm>
          <a:off x="19827240" y="19080480"/>
          <a:ext cx="2263140" cy="513546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184</xdr:col>
      <xdr:colOff>106680</xdr:colOff>
      <xdr:row>147</xdr:row>
      <xdr:rowOff>60960</xdr:rowOff>
    </xdr:from>
    <xdr:to>
      <xdr:col>189</xdr:col>
      <xdr:colOff>76200</xdr:colOff>
      <xdr:row>150</xdr:row>
      <xdr:rowOff>213360</xdr:rowOff>
    </xdr:to>
    <xdr:sp macro="" textlink="">
      <xdr:nvSpPr>
        <xdr:cNvPr id="183" name="乗算記号 182">
          <a:extLst>
            <a:ext uri="{FF2B5EF4-FFF2-40B4-BE49-F238E27FC236}">
              <a16:creationId xmlns:a16="http://schemas.microsoft.com/office/drawing/2014/main" id="{5F3D23FD-0FE3-4CCE-8D5F-E5508285D99A}"/>
            </a:ext>
          </a:extLst>
        </xdr:cNvPr>
        <xdr:cNvSpPr/>
      </xdr:nvSpPr>
      <xdr:spPr>
        <a:xfrm>
          <a:off x="19933920" y="40919400"/>
          <a:ext cx="1531620" cy="861060"/>
        </a:xfrm>
        <a:prstGeom prst="mathMultiply">
          <a:avLst>
            <a:gd name="adj1" fmla="val 16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187</xdr:col>
      <xdr:colOff>289559</xdr:colOff>
      <xdr:row>146</xdr:row>
      <xdr:rowOff>214729</xdr:rowOff>
    </xdr:from>
    <xdr:to>
      <xdr:col>189</xdr:col>
      <xdr:colOff>272934</xdr:colOff>
      <xdr:row>148</xdr:row>
      <xdr:rowOff>214730</xdr:rowOff>
    </xdr:to>
    <xdr:sp macro="" textlink="">
      <xdr:nvSpPr>
        <xdr:cNvPr id="184" name="Text Box 327">
          <a:extLst>
            <a:ext uri="{FF2B5EF4-FFF2-40B4-BE49-F238E27FC236}">
              <a16:creationId xmlns:a16="http://schemas.microsoft.com/office/drawing/2014/main" id="{A4E9A66E-ED0E-48A7-9A90-4CFEFCAA7E33}"/>
            </a:ext>
          </a:extLst>
        </xdr:cNvPr>
        <xdr:cNvSpPr txBox="1">
          <a:spLocks noChangeArrowheads="1"/>
        </xdr:cNvSpPr>
      </xdr:nvSpPr>
      <xdr:spPr bwMode="auto">
        <a:xfrm>
          <a:off x="21054059" y="40836949"/>
          <a:ext cx="608215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組替アセス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139246</xdr:colOff>
      <xdr:row>8</xdr:row>
      <xdr:rowOff>68035</xdr:rowOff>
    </xdr:from>
    <xdr:to>
      <xdr:col>2</xdr:col>
      <xdr:colOff>1593973</xdr:colOff>
      <xdr:row>9</xdr:row>
      <xdr:rowOff>155294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9103328A-867D-4AA4-9D7C-F3299E6C0E42}"/>
            </a:ext>
          </a:extLst>
        </xdr:cNvPr>
        <xdr:cNvSpPr txBox="1"/>
      </xdr:nvSpPr>
      <xdr:spPr>
        <a:xfrm>
          <a:off x="2059486" y="2194015"/>
          <a:ext cx="1454727" cy="32347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9/22</a:t>
          </a:r>
        </a:p>
      </xdr:txBody>
    </xdr:sp>
    <xdr:clientData/>
  </xdr:twoCellAnchor>
  <xdr:twoCellAnchor>
    <xdr:from>
      <xdr:col>175</xdr:col>
      <xdr:colOff>19237</xdr:colOff>
      <xdr:row>6</xdr:row>
      <xdr:rowOff>126440</xdr:rowOff>
    </xdr:from>
    <xdr:to>
      <xdr:col>175</xdr:col>
      <xdr:colOff>202447</xdr:colOff>
      <xdr:row>7</xdr:row>
      <xdr:rowOff>59767</xdr:rowOff>
    </xdr:to>
    <xdr:sp macro="" textlink="">
      <xdr:nvSpPr>
        <xdr:cNvPr id="186" name="AutoShape 332">
          <a:extLst>
            <a:ext uri="{FF2B5EF4-FFF2-40B4-BE49-F238E27FC236}">
              <a16:creationId xmlns:a16="http://schemas.microsoft.com/office/drawing/2014/main" id="{2EA77CD9-A615-4865-9753-2ED191F264AF}"/>
            </a:ext>
          </a:extLst>
        </xdr:cNvPr>
        <xdr:cNvSpPr>
          <a:spLocks noChangeArrowheads="1"/>
        </xdr:cNvSpPr>
      </xdr:nvSpPr>
      <xdr:spPr bwMode="auto">
        <a:xfrm rot="5400000">
          <a:off x="16927228" y="1430249"/>
          <a:ext cx="398147" cy="18321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140</xdr:col>
      <xdr:colOff>283322</xdr:colOff>
      <xdr:row>7</xdr:row>
      <xdr:rowOff>435727</xdr:rowOff>
    </xdr:from>
    <xdr:to>
      <xdr:col>182</xdr:col>
      <xdr:colOff>8032</xdr:colOff>
      <xdr:row>7</xdr:row>
      <xdr:rowOff>435727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E2FD770C-C7FF-40BC-A01F-04FA446631BF}"/>
            </a:ext>
          </a:extLst>
        </xdr:cNvPr>
        <xdr:cNvCxnSpPr>
          <a:cxnSpLocks/>
          <a:endCxn id="188" idx="3"/>
        </xdr:cNvCxnSpPr>
      </xdr:nvCxnSpPr>
      <xdr:spPr>
        <a:xfrm>
          <a:off x="6364082" y="2096887"/>
          <a:ext cx="1284635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8032</xdr:colOff>
      <xdr:row>7</xdr:row>
      <xdr:rowOff>246532</xdr:rowOff>
    </xdr:from>
    <xdr:to>
      <xdr:col>182</xdr:col>
      <xdr:colOff>178542</xdr:colOff>
      <xdr:row>8</xdr:row>
      <xdr:rowOff>176683</xdr:rowOff>
    </xdr:to>
    <xdr:sp macro="" textlink="">
      <xdr:nvSpPr>
        <xdr:cNvPr id="188" name="AutoShape 332">
          <a:extLst>
            <a:ext uri="{FF2B5EF4-FFF2-40B4-BE49-F238E27FC236}">
              <a16:creationId xmlns:a16="http://schemas.microsoft.com/office/drawing/2014/main" id="{C4A95476-5B57-4863-9E06-F6F401C23B3C}"/>
            </a:ext>
          </a:extLst>
        </xdr:cNvPr>
        <xdr:cNvSpPr>
          <a:spLocks noChangeArrowheads="1"/>
        </xdr:cNvSpPr>
      </xdr:nvSpPr>
      <xdr:spPr bwMode="auto">
        <a:xfrm rot="5400000">
          <a:off x="19098201" y="2019923"/>
          <a:ext cx="394971" cy="17051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164</xdr:col>
      <xdr:colOff>46182</xdr:colOff>
      <xdr:row>7</xdr:row>
      <xdr:rowOff>103910</xdr:rowOff>
    </xdr:from>
    <xdr:to>
      <xdr:col>165</xdr:col>
      <xdr:colOff>228572</xdr:colOff>
      <xdr:row>8</xdr:row>
      <xdr:rowOff>174241</xdr:rowOff>
    </xdr:to>
    <xdr:sp macro="" textlink="">
      <xdr:nvSpPr>
        <xdr:cNvPr id="189" name="Text Box 327">
          <a:extLst>
            <a:ext uri="{FF2B5EF4-FFF2-40B4-BE49-F238E27FC236}">
              <a16:creationId xmlns:a16="http://schemas.microsoft.com/office/drawing/2014/main" id="{B1015694-27BC-4BB6-A96F-A5B226E196C0}"/>
            </a:ext>
          </a:extLst>
        </xdr:cNvPr>
        <xdr:cNvSpPr txBox="1">
          <a:spLocks noChangeArrowheads="1"/>
        </xdr:cNvSpPr>
      </xdr:nvSpPr>
      <xdr:spPr bwMode="auto">
        <a:xfrm>
          <a:off x="13625022" y="1765070"/>
          <a:ext cx="494810" cy="53515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排ガス評価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162</xdr:col>
      <xdr:colOff>37342</xdr:colOff>
      <xdr:row>7</xdr:row>
      <xdr:rowOff>102191</xdr:rowOff>
    </xdr:from>
    <xdr:to>
      <xdr:col>163</xdr:col>
      <xdr:colOff>202414</xdr:colOff>
      <xdr:row>8</xdr:row>
      <xdr:rowOff>182047</xdr:rowOff>
    </xdr:to>
    <xdr:sp macro="" textlink="">
      <xdr:nvSpPr>
        <xdr:cNvPr id="190" name="Text Box 327">
          <a:extLst>
            <a:ext uri="{FF2B5EF4-FFF2-40B4-BE49-F238E27FC236}">
              <a16:creationId xmlns:a16="http://schemas.microsoft.com/office/drawing/2014/main" id="{A9A90F32-6BD7-465E-943A-507623FEA6F0}"/>
            </a:ext>
          </a:extLst>
        </xdr:cNvPr>
        <xdr:cNvSpPr txBox="1">
          <a:spLocks noChangeArrowheads="1"/>
        </xdr:cNvSpPr>
      </xdr:nvSpPr>
      <xdr:spPr bwMode="auto">
        <a:xfrm>
          <a:off x="12991342" y="1763351"/>
          <a:ext cx="477492" cy="54467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179</xdr:col>
      <xdr:colOff>308386</xdr:colOff>
      <xdr:row>18</xdr:row>
      <xdr:rowOff>257876</xdr:rowOff>
    </xdr:from>
    <xdr:to>
      <xdr:col>182</xdr:col>
      <xdr:colOff>61521</xdr:colOff>
      <xdr:row>21</xdr:row>
      <xdr:rowOff>208271</xdr:rowOff>
    </xdr:to>
    <xdr:sp macro="" textlink="">
      <xdr:nvSpPr>
        <xdr:cNvPr id="191" name="大かっこ 190">
          <a:extLst>
            <a:ext uri="{FF2B5EF4-FFF2-40B4-BE49-F238E27FC236}">
              <a16:creationId xmlns:a16="http://schemas.microsoft.com/office/drawing/2014/main" id="{D2F80699-143A-4C29-8AAC-49D18AC3AFCF}"/>
            </a:ext>
          </a:extLst>
        </xdr:cNvPr>
        <xdr:cNvSpPr/>
      </xdr:nvSpPr>
      <xdr:spPr>
        <a:xfrm>
          <a:off x="18573526" y="4997516"/>
          <a:ext cx="690395" cy="750495"/>
        </a:xfrm>
        <a:prstGeom prst="bracketPair">
          <a:avLst>
            <a:gd name="adj" fmla="val 8772"/>
          </a:avLst>
        </a:prstGeom>
        <a:ln w="285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178</xdr:col>
      <xdr:colOff>13607</xdr:colOff>
      <xdr:row>19</xdr:row>
      <xdr:rowOff>96446</xdr:rowOff>
    </xdr:from>
    <xdr:ext cx="278946" cy="471054"/>
    <xdr:sp macro="" textlink="">
      <xdr:nvSpPr>
        <xdr:cNvPr id="192" name="AutoShape 332">
          <a:extLst>
            <a:ext uri="{FF2B5EF4-FFF2-40B4-BE49-F238E27FC236}">
              <a16:creationId xmlns:a16="http://schemas.microsoft.com/office/drawing/2014/main" id="{58DAFC1F-DDA2-4D4C-B257-1642D05B90C9}"/>
            </a:ext>
          </a:extLst>
        </xdr:cNvPr>
        <xdr:cNvSpPr>
          <a:spLocks noChangeArrowheads="1"/>
        </xdr:cNvSpPr>
      </xdr:nvSpPr>
      <xdr:spPr bwMode="auto">
        <a:xfrm rot="5400000">
          <a:off x="17870273" y="5198840"/>
          <a:ext cx="471054" cy="27894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178</xdr:col>
      <xdr:colOff>147823</xdr:colOff>
      <xdr:row>17</xdr:row>
      <xdr:rowOff>244929</xdr:rowOff>
    </xdr:from>
    <xdr:to>
      <xdr:col>180</xdr:col>
      <xdr:colOff>280680</xdr:colOff>
      <xdr:row>18</xdr:row>
      <xdr:rowOff>228146</xdr:rowOff>
    </xdr:to>
    <xdr:sp macro="" textlink="">
      <xdr:nvSpPr>
        <xdr:cNvPr id="193" name="矢印: 下カーブ 192">
          <a:extLst>
            <a:ext uri="{FF2B5EF4-FFF2-40B4-BE49-F238E27FC236}">
              <a16:creationId xmlns:a16="http://schemas.microsoft.com/office/drawing/2014/main" id="{3A480C25-8371-41ED-B574-9949BC23B5E9}"/>
            </a:ext>
          </a:extLst>
        </xdr:cNvPr>
        <xdr:cNvSpPr/>
      </xdr:nvSpPr>
      <xdr:spPr>
        <a:xfrm>
          <a:off x="18100543" y="4717869"/>
          <a:ext cx="757697" cy="24991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190</xdr:col>
      <xdr:colOff>122434</xdr:colOff>
      <xdr:row>156</xdr:row>
      <xdr:rowOff>0</xdr:rowOff>
    </xdr:from>
    <xdr:to>
      <xdr:col>192</xdr:col>
      <xdr:colOff>97941</xdr:colOff>
      <xdr:row>157</xdr:row>
      <xdr:rowOff>233722</xdr:rowOff>
    </xdr:to>
    <xdr:sp macro="" textlink="">
      <xdr:nvSpPr>
        <xdr:cNvPr id="194" name="Text Box 327">
          <a:extLst>
            <a:ext uri="{FF2B5EF4-FFF2-40B4-BE49-F238E27FC236}">
              <a16:creationId xmlns:a16="http://schemas.microsoft.com/office/drawing/2014/main" id="{17663F88-144F-48E3-92D3-E145C0676545}"/>
            </a:ext>
          </a:extLst>
        </xdr:cNvPr>
        <xdr:cNvSpPr txBox="1">
          <a:spLocks noChangeArrowheads="1"/>
        </xdr:cNvSpPr>
      </xdr:nvSpPr>
      <xdr:spPr bwMode="auto">
        <a:xfrm>
          <a:off x="21824194" y="42999660"/>
          <a:ext cx="600347" cy="46994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195</xdr:col>
      <xdr:colOff>51873</xdr:colOff>
      <xdr:row>137</xdr:row>
      <xdr:rowOff>21771</xdr:rowOff>
    </xdr:from>
    <xdr:to>
      <xdr:col>198</xdr:col>
      <xdr:colOff>185058</xdr:colOff>
      <xdr:row>138</xdr:row>
      <xdr:rowOff>183898</xdr:rowOff>
    </xdr:to>
    <xdr:sp macro="" textlink="">
      <xdr:nvSpPr>
        <xdr:cNvPr id="195" name="Text Box 327">
          <a:extLst>
            <a:ext uri="{FF2B5EF4-FFF2-40B4-BE49-F238E27FC236}">
              <a16:creationId xmlns:a16="http://schemas.microsoft.com/office/drawing/2014/main" id="{636E7BBC-09D4-4903-A57E-A33D1659AF0B}"/>
            </a:ext>
          </a:extLst>
        </xdr:cNvPr>
        <xdr:cNvSpPr txBox="1">
          <a:spLocks noChangeArrowheads="1"/>
        </xdr:cNvSpPr>
      </xdr:nvSpPr>
      <xdr:spPr bwMode="auto">
        <a:xfrm>
          <a:off x="23315733" y="38487531"/>
          <a:ext cx="1070445" cy="398347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P/PACK</a:t>
          </a:r>
        </a:p>
      </xdr:txBody>
    </xdr:sp>
    <xdr:clientData/>
  </xdr:twoCellAnchor>
  <xdr:twoCellAnchor>
    <xdr:from>
      <xdr:col>179</xdr:col>
      <xdr:colOff>169527</xdr:colOff>
      <xdr:row>141</xdr:row>
      <xdr:rowOff>25729</xdr:rowOff>
    </xdr:from>
    <xdr:to>
      <xdr:col>180</xdr:col>
      <xdr:colOff>272143</xdr:colOff>
      <xdr:row>142</xdr:row>
      <xdr:rowOff>234040</xdr:rowOff>
    </xdr:to>
    <xdr:sp macro="" textlink="">
      <xdr:nvSpPr>
        <xdr:cNvPr id="196" name="Text Box 327">
          <a:extLst>
            <a:ext uri="{FF2B5EF4-FFF2-40B4-BE49-F238E27FC236}">
              <a16:creationId xmlns:a16="http://schemas.microsoft.com/office/drawing/2014/main" id="{B46B23FB-822C-4B00-8041-829EACCDE425}"/>
            </a:ext>
          </a:extLst>
        </xdr:cNvPr>
        <xdr:cNvSpPr txBox="1">
          <a:spLocks noChangeArrowheads="1"/>
        </xdr:cNvSpPr>
      </xdr:nvSpPr>
      <xdr:spPr bwMode="auto">
        <a:xfrm>
          <a:off x="18434667" y="39451609"/>
          <a:ext cx="415036" cy="44453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先量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181</xdr:col>
      <xdr:colOff>145937</xdr:colOff>
      <xdr:row>141</xdr:row>
      <xdr:rowOff>10891</xdr:rowOff>
    </xdr:from>
    <xdr:ext cx="332509" cy="471054"/>
    <xdr:sp macro="" textlink="">
      <xdr:nvSpPr>
        <xdr:cNvPr id="197" name="AutoShape 332">
          <a:extLst>
            <a:ext uri="{FF2B5EF4-FFF2-40B4-BE49-F238E27FC236}">
              <a16:creationId xmlns:a16="http://schemas.microsoft.com/office/drawing/2014/main" id="{1C95C174-8123-4560-8A44-9EC6F37BF8E2}"/>
            </a:ext>
          </a:extLst>
        </xdr:cNvPr>
        <xdr:cNvSpPr>
          <a:spLocks noChangeArrowheads="1"/>
        </xdr:cNvSpPr>
      </xdr:nvSpPr>
      <xdr:spPr bwMode="auto">
        <a:xfrm rot="5400000">
          <a:off x="18966645" y="39506043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R79"/>
  <sheetViews>
    <sheetView tabSelected="1" topLeftCell="C239" zoomScale="85" zoomScaleNormal="85" workbookViewId="0">
      <selection sqref="A1:AR79"/>
    </sheetView>
  </sheetViews>
  <sheetFormatPr defaultColWidth="9" defaultRowHeight="13.2" outlineLevelCol="1"/>
  <cols>
    <col min="1" max="1" width="6.21875" style="1" customWidth="1"/>
    <col min="2" max="2" width="6.109375" style="263" customWidth="1"/>
    <col min="3" max="3" width="13.109375" style="2" bestFit="1" customWidth="1"/>
    <col min="4" max="4" width="12.6640625" style="2" customWidth="1"/>
    <col min="5" max="5" width="39.77734375" style="72" customWidth="1"/>
    <col min="6" max="6" width="5.21875" style="2" customWidth="1" outlineLevel="1"/>
    <col min="7" max="7" width="8.44140625" style="2" customWidth="1" outlineLevel="1"/>
    <col min="8" max="9" width="5" style="2" customWidth="1" outlineLevel="1"/>
    <col min="10" max="11" width="5.88671875" style="2" customWidth="1" outlineLevel="1"/>
    <col min="12" max="13" width="5.44140625" style="2" customWidth="1" outlineLevel="1"/>
    <col min="14" max="19" width="5.44140625" style="1" customWidth="1" outlineLevel="1"/>
    <col min="20" max="20" width="5.6640625" style="1" customWidth="1" outlineLevel="1"/>
    <col min="21" max="22" width="6.44140625" style="1" customWidth="1" outlineLevel="1"/>
    <col min="23" max="23" width="11" style="1" customWidth="1" outlineLevel="1"/>
    <col min="24" max="24" width="19" style="1" customWidth="1" outlineLevel="1"/>
    <col min="25" max="25" width="14.21875" style="28" customWidth="1" outlineLevel="1"/>
    <col min="26" max="26" width="10.109375" style="28" customWidth="1" outlineLevel="1"/>
    <col min="27" max="27" width="11.109375" style="28" customWidth="1" outlineLevel="1"/>
    <col min="28" max="28" width="14.109375" style="28" customWidth="1" outlineLevel="1"/>
    <col min="29" max="29" width="13.44140625" style="28" customWidth="1" outlineLevel="1"/>
    <col min="30" max="30" width="31.33203125" style="28" customWidth="1" outlineLevel="1"/>
    <col min="31" max="31" width="13.6640625" style="28" customWidth="1" outlineLevel="1"/>
    <col min="32" max="32" width="9" style="28" customWidth="1" outlineLevel="1"/>
    <col min="33" max="33" width="10.44140625" style="28" customWidth="1" outlineLevel="1"/>
    <col min="34" max="34" width="7.21875" style="28" customWidth="1" outlineLevel="1"/>
    <col min="35" max="35" width="10.44140625" style="28" customWidth="1" outlineLevel="1"/>
    <col min="36" max="36" width="10.77734375" style="28" customWidth="1" outlineLevel="1"/>
    <col min="37" max="37" width="4.44140625" style="1" customWidth="1" outlineLevel="1"/>
    <col min="38" max="38" width="3.44140625" style="1" customWidth="1" outlineLevel="1"/>
    <col min="39" max="39" width="9" style="1" customWidth="1" outlineLevel="1"/>
    <col min="40" max="43" width="9" style="1"/>
    <col min="44" max="44" width="14" style="1" bestFit="1" customWidth="1"/>
    <col min="45" max="16384" width="9" style="1"/>
  </cols>
  <sheetData>
    <row r="1" spans="1:44"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44" ht="26.4" thickBot="1">
      <c r="A2" s="3" t="s">
        <v>408</v>
      </c>
      <c r="H2" s="4" t="s">
        <v>0</v>
      </c>
      <c r="I2" s="4"/>
      <c r="J2" s="14"/>
      <c r="K2" s="14"/>
      <c r="L2" s="14"/>
      <c r="M2" s="14"/>
      <c r="N2" s="13"/>
      <c r="O2" s="13"/>
      <c r="P2" s="13"/>
      <c r="Q2" s="13"/>
      <c r="R2" s="13"/>
      <c r="S2" s="5"/>
      <c r="T2" s="5"/>
      <c r="U2" s="5"/>
      <c r="V2" s="5"/>
      <c r="W2" s="5"/>
      <c r="X2" s="5"/>
      <c r="Y2" s="47"/>
      <c r="AK2" s="6" t="s">
        <v>29</v>
      </c>
    </row>
    <row r="3" spans="1:44" s="28" customFormat="1" ht="13.8" thickBot="1">
      <c r="A3" s="24"/>
      <c r="B3" s="263"/>
      <c r="C3" s="25"/>
      <c r="D3" s="25"/>
      <c r="E3" s="73"/>
      <c r="F3" s="25"/>
      <c r="G3" s="25"/>
      <c r="H3" s="26"/>
      <c r="I3" s="26"/>
      <c r="J3" s="53">
        <v>45964</v>
      </c>
      <c r="K3" s="54">
        <v>45971</v>
      </c>
      <c r="L3" s="54">
        <v>45978</v>
      </c>
      <c r="M3" s="54">
        <v>45985</v>
      </c>
      <c r="N3" s="54">
        <v>45992</v>
      </c>
      <c r="O3" s="54">
        <v>45999</v>
      </c>
      <c r="P3" s="54">
        <v>46006</v>
      </c>
      <c r="Q3" s="54">
        <v>46013</v>
      </c>
      <c r="R3" s="54">
        <v>46020</v>
      </c>
      <c r="S3" s="54">
        <v>46027</v>
      </c>
      <c r="T3" s="54">
        <v>46034</v>
      </c>
      <c r="U3" s="54">
        <v>46041</v>
      </c>
      <c r="V3" s="54">
        <v>46048</v>
      </c>
      <c r="W3" s="54"/>
      <c r="X3" s="27" t="s">
        <v>87</v>
      </c>
      <c r="Y3" s="29"/>
      <c r="Z3" s="29"/>
      <c r="AA3" s="29"/>
      <c r="AB3" s="29"/>
      <c r="AC3" s="29"/>
      <c r="AD3" s="29"/>
      <c r="AE3" s="29"/>
      <c r="AF3" s="29"/>
      <c r="AG3" s="40"/>
      <c r="AH3" s="338" t="s">
        <v>30</v>
      </c>
      <c r="AI3" s="340" t="s">
        <v>31</v>
      </c>
      <c r="AJ3" s="341"/>
    </row>
    <row r="4" spans="1:44" ht="40.200000000000003" thickBot="1">
      <c r="A4" s="294" t="s">
        <v>22</v>
      </c>
      <c r="B4" s="295" t="s">
        <v>1</v>
      </c>
      <c r="C4" s="262" t="s">
        <v>20</v>
      </c>
      <c r="D4" s="262" t="s">
        <v>15</v>
      </c>
      <c r="E4" s="262" t="s">
        <v>60</v>
      </c>
      <c r="F4" s="262" t="s">
        <v>2</v>
      </c>
      <c r="G4" s="262" t="s">
        <v>3</v>
      </c>
      <c r="H4" s="262" t="s">
        <v>4</v>
      </c>
      <c r="I4" s="402" t="s">
        <v>577</v>
      </c>
      <c r="J4" s="262" t="s">
        <v>112</v>
      </c>
      <c r="K4" s="262" t="s">
        <v>113</v>
      </c>
      <c r="L4" s="262" t="s">
        <v>116</v>
      </c>
      <c r="M4" s="262" t="s">
        <v>122</v>
      </c>
      <c r="N4" s="262" t="s">
        <v>212</v>
      </c>
      <c r="O4" s="262" t="s">
        <v>215</v>
      </c>
      <c r="P4" s="262" t="s">
        <v>221</v>
      </c>
      <c r="Q4" s="262" t="s">
        <v>235</v>
      </c>
      <c r="R4" s="299" t="s">
        <v>446</v>
      </c>
      <c r="S4" s="262" t="s">
        <v>325</v>
      </c>
      <c r="T4" s="262" t="s">
        <v>351</v>
      </c>
      <c r="U4" s="262" t="s">
        <v>380</v>
      </c>
      <c r="V4" s="262" t="s">
        <v>443</v>
      </c>
      <c r="W4" s="262" t="s">
        <v>5</v>
      </c>
      <c r="X4" s="262" t="s">
        <v>53</v>
      </c>
      <c r="Y4" s="262" t="s">
        <v>54</v>
      </c>
      <c r="Z4" s="41" t="s">
        <v>59</v>
      </c>
      <c r="AA4" s="49" t="s">
        <v>55</v>
      </c>
      <c r="AB4" s="42" t="s">
        <v>32</v>
      </c>
      <c r="AC4" s="42" t="s">
        <v>39</v>
      </c>
      <c r="AD4" s="43" t="s">
        <v>33</v>
      </c>
      <c r="AE4" s="42" t="s">
        <v>34</v>
      </c>
      <c r="AF4" s="38" t="s">
        <v>35</v>
      </c>
      <c r="AG4" s="44" t="s">
        <v>36</v>
      </c>
      <c r="AH4" s="339"/>
      <c r="AI4" s="45" t="s">
        <v>37</v>
      </c>
      <c r="AJ4" s="46" t="s">
        <v>38</v>
      </c>
    </row>
    <row r="5" spans="1:44" s="11" customFormat="1">
      <c r="A5" s="296">
        <v>31</v>
      </c>
      <c r="B5" s="297" t="s">
        <v>236</v>
      </c>
      <c r="C5" s="296">
        <v>7552736070</v>
      </c>
      <c r="D5" s="296" t="s">
        <v>244</v>
      </c>
      <c r="E5" s="296" t="s">
        <v>444</v>
      </c>
      <c r="F5" s="296">
        <v>1</v>
      </c>
      <c r="G5" s="296" t="s">
        <v>238</v>
      </c>
      <c r="H5" s="298" t="s">
        <v>7</v>
      </c>
      <c r="I5" s="298" t="str">
        <f>IF(COUNTIF(ピッキングマスタ作成台帳!C:C,C5)&gt;0,"有","")</f>
        <v/>
      </c>
      <c r="J5" s="296"/>
      <c r="K5" s="296"/>
      <c r="L5" s="296"/>
      <c r="M5" s="296"/>
      <c r="N5" s="300">
        <v>1</v>
      </c>
      <c r="O5" s="300">
        <v>3</v>
      </c>
      <c r="P5" s="296"/>
      <c r="Q5" s="296"/>
      <c r="R5" s="296"/>
      <c r="S5" s="296"/>
      <c r="T5" s="296"/>
      <c r="U5" s="296"/>
      <c r="V5" s="296"/>
      <c r="W5" s="296">
        <v>4</v>
      </c>
      <c r="X5" s="296" t="s">
        <v>239</v>
      </c>
      <c r="Y5" s="296" t="s">
        <v>240</v>
      </c>
      <c r="Z5" s="21" t="s">
        <v>578</v>
      </c>
      <c r="AA5" s="50">
        <v>45632</v>
      </c>
      <c r="AB5" s="21" t="s">
        <v>579</v>
      </c>
      <c r="AC5" s="21" t="s">
        <v>580</v>
      </c>
      <c r="AD5" s="34" t="s">
        <v>581</v>
      </c>
      <c r="AE5" s="21">
        <v>0</v>
      </c>
      <c r="AF5" s="21">
        <v>0</v>
      </c>
      <c r="AG5" s="35">
        <v>0</v>
      </c>
      <c r="AH5" s="36" t="s">
        <v>582</v>
      </c>
      <c r="AI5" s="21" t="s">
        <v>582</v>
      </c>
      <c r="AJ5" s="37" t="s">
        <v>582</v>
      </c>
      <c r="AK5" s="10"/>
      <c r="AL5" s="8"/>
      <c r="AR5" s="11" t="e">
        <v>#N/A</v>
      </c>
    </row>
    <row r="6" spans="1:44" s="9" customFormat="1">
      <c r="A6" s="296">
        <v>30</v>
      </c>
      <c r="B6" s="297" t="s">
        <v>236</v>
      </c>
      <c r="C6" s="296">
        <v>7552735880</v>
      </c>
      <c r="D6" s="296" t="s">
        <v>244</v>
      </c>
      <c r="E6" s="296" t="s">
        <v>262</v>
      </c>
      <c r="F6" s="296">
        <v>1</v>
      </c>
      <c r="G6" s="296" t="s">
        <v>238</v>
      </c>
      <c r="H6" s="298" t="s">
        <v>7</v>
      </c>
      <c r="I6" s="298" t="str">
        <f>IF(COUNTIF(ピッキングマスタ作成台帳!C:C,C6)&gt;0,"有","")</f>
        <v/>
      </c>
      <c r="J6" s="296"/>
      <c r="K6" s="296"/>
      <c r="L6" s="296"/>
      <c r="M6" s="296"/>
      <c r="N6" s="300">
        <v>1</v>
      </c>
      <c r="O6" s="296"/>
      <c r="P6" s="296"/>
      <c r="Q6" s="296"/>
      <c r="R6" s="296"/>
      <c r="S6" s="296"/>
      <c r="T6" s="296"/>
      <c r="U6" s="296"/>
      <c r="V6" s="296"/>
      <c r="W6" s="296">
        <v>1</v>
      </c>
      <c r="X6" s="296" t="s">
        <v>239</v>
      </c>
      <c r="Y6" s="296" t="s">
        <v>240</v>
      </c>
      <c r="Z6" s="21" t="s">
        <v>578</v>
      </c>
      <c r="AA6" s="50">
        <v>45632</v>
      </c>
      <c r="AB6" s="21" t="s">
        <v>579</v>
      </c>
      <c r="AC6" s="21" t="s">
        <v>580</v>
      </c>
      <c r="AD6" s="34" t="s">
        <v>581</v>
      </c>
      <c r="AE6" s="21">
        <v>0</v>
      </c>
      <c r="AF6" s="21">
        <v>0</v>
      </c>
      <c r="AG6" s="35">
        <v>0</v>
      </c>
      <c r="AH6" s="36" t="s">
        <v>582</v>
      </c>
      <c r="AI6" s="21" t="s">
        <v>582</v>
      </c>
      <c r="AJ6" s="37" t="s">
        <v>582</v>
      </c>
      <c r="AK6" s="7"/>
      <c r="AL6" s="8"/>
      <c r="AR6" s="11" t="e">
        <v>#N/A</v>
      </c>
    </row>
    <row r="7" spans="1:44" s="11" customFormat="1">
      <c r="A7" s="296">
        <v>66</v>
      </c>
      <c r="B7" s="297">
        <v>115</v>
      </c>
      <c r="C7" s="296">
        <v>7552736100</v>
      </c>
      <c r="D7" s="296" t="s">
        <v>244</v>
      </c>
      <c r="E7" s="296" t="s">
        <v>262</v>
      </c>
      <c r="F7" s="296">
        <v>1</v>
      </c>
      <c r="G7" s="296" t="s">
        <v>381</v>
      </c>
      <c r="H7" s="298" t="s">
        <v>7</v>
      </c>
      <c r="I7" s="298" t="str">
        <f>IF(COUNTIF(ピッキングマスタ作成台帳!C:C,C7)&gt;0,"有","")</f>
        <v>有</v>
      </c>
      <c r="J7" s="296"/>
      <c r="K7" s="300">
        <v>1</v>
      </c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>
        <v>1</v>
      </c>
      <c r="X7" s="296" t="s">
        <v>239</v>
      </c>
      <c r="Y7" s="296" t="s">
        <v>240</v>
      </c>
      <c r="Z7" s="21" t="s">
        <v>578</v>
      </c>
      <c r="AA7" s="50">
        <v>45632</v>
      </c>
      <c r="AB7" s="21" t="s">
        <v>579</v>
      </c>
      <c r="AC7" s="21" t="s">
        <v>580</v>
      </c>
      <c r="AD7" s="34" t="s">
        <v>581</v>
      </c>
      <c r="AE7" s="21">
        <v>0</v>
      </c>
      <c r="AF7" s="21">
        <v>0</v>
      </c>
      <c r="AG7" s="35">
        <v>0</v>
      </c>
      <c r="AH7" s="36" t="s">
        <v>582</v>
      </c>
      <c r="AI7" s="21" t="s">
        <v>582</v>
      </c>
      <c r="AJ7" s="37" t="s">
        <v>582</v>
      </c>
      <c r="AK7" s="7"/>
      <c r="AL7" s="8"/>
      <c r="AR7" s="11" t="e">
        <v>#N/A</v>
      </c>
    </row>
    <row r="8" spans="1:44" s="9" customFormat="1">
      <c r="A8" s="296">
        <v>67</v>
      </c>
      <c r="B8" s="297">
        <v>115</v>
      </c>
      <c r="C8" s="296">
        <v>7552736110</v>
      </c>
      <c r="D8" s="296" t="s">
        <v>244</v>
      </c>
      <c r="E8" s="296" t="s">
        <v>262</v>
      </c>
      <c r="F8" s="296">
        <v>1</v>
      </c>
      <c r="G8" s="296" t="s">
        <v>382</v>
      </c>
      <c r="H8" s="298" t="s">
        <v>7</v>
      </c>
      <c r="I8" s="298" t="str">
        <f>IF(COUNTIF(ピッキングマスタ作成台帳!C:C,C8)&gt;0,"有","")</f>
        <v>有</v>
      </c>
      <c r="J8" s="296"/>
      <c r="K8" s="300">
        <v>1</v>
      </c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>
        <v>1</v>
      </c>
      <c r="X8" s="296" t="s">
        <v>239</v>
      </c>
      <c r="Y8" s="296" t="s">
        <v>240</v>
      </c>
      <c r="Z8" s="21" t="s">
        <v>578</v>
      </c>
      <c r="AA8" s="50">
        <v>45632</v>
      </c>
      <c r="AB8" s="21" t="s">
        <v>579</v>
      </c>
      <c r="AC8" s="21" t="s">
        <v>580</v>
      </c>
      <c r="AD8" s="34" t="s">
        <v>581</v>
      </c>
      <c r="AE8" s="21">
        <v>0</v>
      </c>
      <c r="AF8" s="21">
        <v>0</v>
      </c>
      <c r="AG8" s="35">
        <v>0</v>
      </c>
      <c r="AH8" s="36" t="s">
        <v>582</v>
      </c>
      <c r="AI8" s="21" t="s">
        <v>582</v>
      </c>
      <c r="AJ8" s="37" t="s">
        <v>582</v>
      </c>
      <c r="AK8" s="10"/>
      <c r="AL8" s="8"/>
      <c r="AR8" s="11" t="e">
        <v>#N/A</v>
      </c>
    </row>
    <row r="9" spans="1:44" s="9" customFormat="1">
      <c r="A9" s="296">
        <v>53</v>
      </c>
      <c r="B9" s="297">
        <v>115</v>
      </c>
      <c r="C9" s="296">
        <v>7552715130</v>
      </c>
      <c r="D9" s="296" t="s">
        <v>9</v>
      </c>
      <c r="E9" s="336" t="s">
        <v>241</v>
      </c>
      <c r="F9" s="296">
        <v>1</v>
      </c>
      <c r="G9" s="296" t="s">
        <v>447</v>
      </c>
      <c r="H9" s="298" t="s">
        <v>7</v>
      </c>
      <c r="I9" s="298" t="str">
        <f>IF(COUNTIF(ピッキングマスタ作成台帳!C:C,C9)&gt;0,"有","")</f>
        <v>有</v>
      </c>
      <c r="J9" s="296"/>
      <c r="K9" s="300">
        <v>1</v>
      </c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>
        <v>1</v>
      </c>
      <c r="X9" s="296" t="s">
        <v>239</v>
      </c>
      <c r="Y9" s="296" t="s">
        <v>242</v>
      </c>
      <c r="Z9" s="21" t="s">
        <v>583</v>
      </c>
      <c r="AA9" s="50">
        <v>45726</v>
      </c>
      <c r="AB9" s="21" t="s">
        <v>584</v>
      </c>
      <c r="AC9" s="21" t="s">
        <v>585</v>
      </c>
      <c r="AD9" s="34" t="s">
        <v>586</v>
      </c>
      <c r="AE9" s="21">
        <v>0</v>
      </c>
      <c r="AF9" s="21">
        <v>0</v>
      </c>
      <c r="AG9" s="35">
        <v>0</v>
      </c>
      <c r="AH9" s="36" t="s">
        <v>582</v>
      </c>
      <c r="AI9" s="21" t="s">
        <v>582</v>
      </c>
      <c r="AJ9" s="37" t="s">
        <v>582</v>
      </c>
      <c r="AK9" s="10"/>
      <c r="AL9" s="8"/>
      <c r="AR9" s="11">
        <v>7552715130</v>
      </c>
    </row>
    <row r="10" spans="1:44" s="9" customFormat="1">
      <c r="A10" s="296">
        <v>49</v>
      </c>
      <c r="B10" s="297">
        <v>115</v>
      </c>
      <c r="C10" s="296">
        <v>7552702910</v>
      </c>
      <c r="D10" s="296" t="s">
        <v>248</v>
      </c>
      <c r="E10" s="336" t="s">
        <v>109</v>
      </c>
      <c r="F10" s="296">
        <v>1</v>
      </c>
      <c r="G10" s="296" t="s">
        <v>252</v>
      </c>
      <c r="H10" s="298" t="s">
        <v>7</v>
      </c>
      <c r="I10" s="298" t="str">
        <f>IF(COUNTIF(ピッキングマスタ作成台帳!C:C,C10)&gt;0,"有","")</f>
        <v>有</v>
      </c>
      <c r="J10" s="296"/>
      <c r="K10" s="300">
        <v>1</v>
      </c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>
        <v>1</v>
      </c>
      <c r="X10" s="296" t="s">
        <v>239</v>
      </c>
      <c r="Y10" s="296" t="s">
        <v>249</v>
      </c>
      <c r="Z10" s="21" t="s">
        <v>587</v>
      </c>
      <c r="AA10" s="50">
        <v>45677</v>
      </c>
      <c r="AB10" s="21" t="s">
        <v>588</v>
      </c>
      <c r="AC10" s="21" t="s">
        <v>584</v>
      </c>
      <c r="AD10" s="34" t="s">
        <v>589</v>
      </c>
      <c r="AE10" s="21" t="s">
        <v>590</v>
      </c>
      <c r="AF10" s="21" t="s">
        <v>591</v>
      </c>
      <c r="AG10" s="35" t="s">
        <v>592</v>
      </c>
      <c r="AH10" s="36" t="s">
        <v>582</v>
      </c>
      <c r="AI10" s="21" t="s">
        <v>582</v>
      </c>
      <c r="AJ10" s="37" t="s">
        <v>582</v>
      </c>
      <c r="AK10" s="7"/>
      <c r="AL10" s="8"/>
      <c r="AR10" s="11">
        <v>7552702910</v>
      </c>
    </row>
    <row r="11" spans="1:44" s="9" customFormat="1">
      <c r="A11" s="296">
        <v>56</v>
      </c>
      <c r="B11" s="297">
        <v>115</v>
      </c>
      <c r="C11" s="296">
        <v>7552735780</v>
      </c>
      <c r="D11" s="296" t="s">
        <v>237</v>
      </c>
      <c r="E11" s="296" t="s">
        <v>86</v>
      </c>
      <c r="F11" s="296">
        <v>1</v>
      </c>
      <c r="G11" s="296" t="s">
        <v>250</v>
      </c>
      <c r="H11" s="298" t="s">
        <v>7</v>
      </c>
      <c r="I11" s="298" t="str">
        <f>IF(COUNTIF(ピッキングマスタ作成台帳!C:C,C11)&gt;0,"有","")</f>
        <v>有</v>
      </c>
      <c r="J11" s="296"/>
      <c r="K11" s="300">
        <v>7</v>
      </c>
      <c r="L11" s="300">
        <v>1</v>
      </c>
      <c r="M11" s="300">
        <v>2</v>
      </c>
      <c r="N11" s="300">
        <v>10</v>
      </c>
      <c r="O11" s="300">
        <v>10</v>
      </c>
      <c r="P11" s="300">
        <v>8</v>
      </c>
      <c r="Q11" s="300">
        <v>8</v>
      </c>
      <c r="R11" s="296"/>
      <c r="S11" s="300">
        <v>10</v>
      </c>
      <c r="T11" s="300">
        <v>9</v>
      </c>
      <c r="U11" s="300">
        <v>9</v>
      </c>
      <c r="V11" s="300">
        <v>5</v>
      </c>
      <c r="W11" s="296">
        <v>79</v>
      </c>
      <c r="X11" s="296" t="s">
        <v>239</v>
      </c>
      <c r="Y11" s="296" t="s">
        <v>240</v>
      </c>
      <c r="Z11" s="21" t="s">
        <v>578</v>
      </c>
      <c r="AA11" s="50">
        <v>45632</v>
      </c>
      <c r="AB11" s="21" t="s">
        <v>593</v>
      </c>
      <c r="AC11" s="21" t="s">
        <v>580</v>
      </c>
      <c r="AD11" s="34" t="s">
        <v>581</v>
      </c>
      <c r="AE11" s="21" t="s">
        <v>594</v>
      </c>
      <c r="AF11" s="21" t="s">
        <v>236</v>
      </c>
      <c r="AG11" s="35" t="s">
        <v>595</v>
      </c>
      <c r="AH11" s="36" t="s">
        <v>582</v>
      </c>
      <c r="AI11" s="21" t="s">
        <v>582</v>
      </c>
      <c r="AJ11" s="37" t="s">
        <v>582</v>
      </c>
      <c r="AK11" s="10"/>
      <c r="AL11" s="8"/>
      <c r="AR11" s="11" t="e">
        <v>#N/A</v>
      </c>
    </row>
    <row r="12" spans="1:44" s="9" customFormat="1">
      <c r="A12" s="296">
        <v>54</v>
      </c>
      <c r="B12" s="297">
        <v>115</v>
      </c>
      <c r="C12" s="296">
        <v>7552735180</v>
      </c>
      <c r="D12" s="296" t="s">
        <v>237</v>
      </c>
      <c r="E12" s="296" t="s">
        <v>225</v>
      </c>
      <c r="F12" s="296">
        <v>1</v>
      </c>
      <c r="G12" s="296" t="s">
        <v>383</v>
      </c>
      <c r="H12" s="298" t="s">
        <v>7</v>
      </c>
      <c r="I12" s="298" t="str">
        <f>IF(COUNTIF(ピッキングマスタ作成台帳!C:C,C12)&gt;0,"有","")</f>
        <v>有</v>
      </c>
      <c r="J12" s="296"/>
      <c r="K12" s="300">
        <v>1</v>
      </c>
      <c r="L12" s="300">
        <v>1</v>
      </c>
      <c r="M12" s="300">
        <v>1</v>
      </c>
      <c r="N12" s="300">
        <v>3</v>
      </c>
      <c r="O12" s="296"/>
      <c r="P12" s="300">
        <v>1</v>
      </c>
      <c r="Q12" s="296"/>
      <c r="R12" s="296"/>
      <c r="S12" s="296"/>
      <c r="T12" s="300">
        <v>1</v>
      </c>
      <c r="U12" s="296"/>
      <c r="V12" s="296"/>
      <c r="W12" s="296">
        <v>8</v>
      </c>
      <c r="X12" s="296" t="s">
        <v>239</v>
      </c>
      <c r="Y12" s="296" t="s">
        <v>240</v>
      </c>
      <c r="Z12" s="21" t="s">
        <v>578</v>
      </c>
      <c r="AA12" s="50">
        <v>45632</v>
      </c>
      <c r="AB12" s="21" t="s">
        <v>593</v>
      </c>
      <c r="AC12" s="21" t="s">
        <v>580</v>
      </c>
      <c r="AD12" s="34" t="s">
        <v>581</v>
      </c>
      <c r="AE12" s="21">
        <v>0</v>
      </c>
      <c r="AF12" s="21">
        <v>0</v>
      </c>
      <c r="AG12" s="35">
        <v>0</v>
      </c>
      <c r="AH12" s="36" t="s">
        <v>582</v>
      </c>
      <c r="AI12" s="21" t="s">
        <v>582</v>
      </c>
      <c r="AJ12" s="37" t="s">
        <v>582</v>
      </c>
      <c r="AK12" s="7"/>
      <c r="AL12" s="8"/>
      <c r="AR12" s="11" t="e">
        <v>#N/A</v>
      </c>
    </row>
    <row r="13" spans="1:44" s="11" customFormat="1">
      <c r="A13" s="296">
        <v>57</v>
      </c>
      <c r="B13" s="297">
        <v>115</v>
      </c>
      <c r="C13" s="296">
        <v>7552735790</v>
      </c>
      <c r="D13" s="296" t="s">
        <v>237</v>
      </c>
      <c r="E13" s="296" t="s">
        <v>225</v>
      </c>
      <c r="F13" s="296">
        <v>1</v>
      </c>
      <c r="G13" s="296" t="s">
        <v>251</v>
      </c>
      <c r="H13" s="298" t="s">
        <v>7</v>
      </c>
      <c r="I13" s="298" t="str">
        <f>IF(COUNTIF(ピッキングマスタ作成台帳!C:C,C13)&gt;0,"有","")</f>
        <v>有</v>
      </c>
      <c r="J13" s="296"/>
      <c r="K13" s="300">
        <v>14</v>
      </c>
      <c r="L13" s="300">
        <v>4</v>
      </c>
      <c r="M13" s="300">
        <v>4</v>
      </c>
      <c r="N13" s="300">
        <v>11</v>
      </c>
      <c r="O13" s="300">
        <v>43</v>
      </c>
      <c r="P13" s="300">
        <v>41</v>
      </c>
      <c r="Q13" s="300">
        <v>31</v>
      </c>
      <c r="R13" s="296"/>
      <c r="S13" s="300">
        <v>24</v>
      </c>
      <c r="T13" s="300">
        <v>17</v>
      </c>
      <c r="U13" s="300">
        <v>13</v>
      </c>
      <c r="V13" s="300">
        <v>8</v>
      </c>
      <c r="W13" s="296">
        <v>210</v>
      </c>
      <c r="X13" s="296" t="s">
        <v>239</v>
      </c>
      <c r="Y13" s="296" t="s">
        <v>240</v>
      </c>
      <c r="Z13" s="21" t="s">
        <v>578</v>
      </c>
      <c r="AA13" s="50">
        <v>45632</v>
      </c>
      <c r="AB13" s="21" t="s">
        <v>593</v>
      </c>
      <c r="AC13" s="21" t="s">
        <v>580</v>
      </c>
      <c r="AD13" s="34" t="s">
        <v>581</v>
      </c>
      <c r="AE13" s="21" t="s">
        <v>594</v>
      </c>
      <c r="AF13" s="21" t="s">
        <v>236</v>
      </c>
      <c r="AG13" s="35" t="s">
        <v>596</v>
      </c>
      <c r="AH13" s="36" t="s">
        <v>582</v>
      </c>
      <c r="AI13" s="21" t="s">
        <v>582</v>
      </c>
      <c r="AJ13" s="37" t="s">
        <v>582</v>
      </c>
      <c r="AK13" s="7"/>
      <c r="AL13" s="8"/>
      <c r="AR13" s="11" t="e">
        <v>#N/A</v>
      </c>
    </row>
    <row r="14" spans="1:44" s="9" customFormat="1">
      <c r="A14" s="296">
        <v>58</v>
      </c>
      <c r="B14" s="297">
        <v>115</v>
      </c>
      <c r="C14" s="296">
        <v>7552735800</v>
      </c>
      <c r="D14" s="296" t="s">
        <v>237</v>
      </c>
      <c r="E14" s="296" t="s">
        <v>225</v>
      </c>
      <c r="F14" s="296">
        <v>1</v>
      </c>
      <c r="G14" s="296" t="s">
        <v>384</v>
      </c>
      <c r="H14" s="298" t="s">
        <v>7</v>
      </c>
      <c r="I14" s="298" t="str">
        <f>IF(COUNTIF(ピッキングマスタ作成台帳!C:C,C14)&gt;0,"有","")</f>
        <v>有</v>
      </c>
      <c r="J14" s="296"/>
      <c r="K14" s="300">
        <v>1</v>
      </c>
      <c r="L14" s="300">
        <v>1</v>
      </c>
      <c r="M14" s="300">
        <v>1</v>
      </c>
      <c r="N14" s="300">
        <v>1</v>
      </c>
      <c r="O14" s="300">
        <v>1</v>
      </c>
      <c r="P14" s="296"/>
      <c r="Q14" s="296"/>
      <c r="R14" s="296"/>
      <c r="S14" s="296"/>
      <c r="T14" s="300">
        <v>1</v>
      </c>
      <c r="U14" s="300">
        <v>1</v>
      </c>
      <c r="V14" s="296"/>
      <c r="W14" s="296">
        <v>7</v>
      </c>
      <c r="X14" s="296" t="s">
        <v>239</v>
      </c>
      <c r="Y14" s="296" t="s">
        <v>240</v>
      </c>
      <c r="Z14" s="21" t="s">
        <v>578</v>
      </c>
      <c r="AA14" s="50">
        <v>45632</v>
      </c>
      <c r="AB14" s="21" t="s">
        <v>593</v>
      </c>
      <c r="AC14" s="21" t="s">
        <v>580</v>
      </c>
      <c r="AD14" s="34" t="s">
        <v>581</v>
      </c>
      <c r="AE14" s="21">
        <v>0</v>
      </c>
      <c r="AF14" s="21">
        <v>0</v>
      </c>
      <c r="AG14" s="35">
        <v>0</v>
      </c>
      <c r="AH14" s="36" t="s">
        <v>582</v>
      </c>
      <c r="AI14" s="21" t="s">
        <v>582</v>
      </c>
      <c r="AJ14" s="37" t="s">
        <v>582</v>
      </c>
      <c r="AK14" s="7"/>
      <c r="AL14" s="8"/>
      <c r="AR14" s="11" t="e">
        <v>#N/A</v>
      </c>
    </row>
    <row r="15" spans="1:44" s="9" customFormat="1">
      <c r="A15" s="296">
        <v>60</v>
      </c>
      <c r="B15" s="297">
        <v>115</v>
      </c>
      <c r="C15" s="296">
        <v>7552735840</v>
      </c>
      <c r="D15" s="296" t="s">
        <v>237</v>
      </c>
      <c r="E15" s="296" t="s">
        <v>225</v>
      </c>
      <c r="F15" s="296">
        <v>1</v>
      </c>
      <c r="G15" s="296" t="s">
        <v>385</v>
      </c>
      <c r="H15" s="298" t="s">
        <v>7</v>
      </c>
      <c r="I15" s="298" t="str">
        <f>IF(COUNTIF(ピッキングマスタ作成台帳!C:C,C15)&gt;0,"有","")</f>
        <v>有</v>
      </c>
      <c r="J15" s="296"/>
      <c r="K15" s="300">
        <v>1</v>
      </c>
      <c r="L15" s="300">
        <v>2</v>
      </c>
      <c r="M15" s="300">
        <v>7</v>
      </c>
      <c r="N15" s="300">
        <v>1</v>
      </c>
      <c r="O15" s="300">
        <v>3</v>
      </c>
      <c r="P15" s="300">
        <v>3</v>
      </c>
      <c r="Q15" s="300">
        <v>4</v>
      </c>
      <c r="R15" s="296"/>
      <c r="S15" s="300">
        <v>5</v>
      </c>
      <c r="T15" s="300">
        <v>5</v>
      </c>
      <c r="U15" s="300">
        <v>5</v>
      </c>
      <c r="V15" s="300">
        <v>3</v>
      </c>
      <c r="W15" s="296">
        <v>39</v>
      </c>
      <c r="X15" s="296" t="s">
        <v>239</v>
      </c>
      <c r="Y15" s="296" t="s">
        <v>240</v>
      </c>
      <c r="Z15" s="21" t="s">
        <v>578</v>
      </c>
      <c r="AA15" s="50">
        <v>45632</v>
      </c>
      <c r="AB15" s="21" t="s">
        <v>593</v>
      </c>
      <c r="AC15" s="21" t="s">
        <v>580</v>
      </c>
      <c r="AD15" s="34" t="s">
        <v>581</v>
      </c>
      <c r="AE15" s="21">
        <v>0</v>
      </c>
      <c r="AF15" s="21">
        <v>0</v>
      </c>
      <c r="AG15" s="35">
        <v>0</v>
      </c>
      <c r="AH15" s="36" t="s">
        <v>582</v>
      </c>
      <c r="AI15" s="21" t="s">
        <v>582</v>
      </c>
      <c r="AJ15" s="37" t="s">
        <v>582</v>
      </c>
      <c r="AK15" s="10"/>
      <c r="AL15" s="8"/>
      <c r="AR15" s="11" t="e">
        <v>#N/A</v>
      </c>
    </row>
    <row r="16" spans="1:44" s="9" customFormat="1">
      <c r="A16" s="296">
        <v>61</v>
      </c>
      <c r="B16" s="297">
        <v>115</v>
      </c>
      <c r="C16" s="296">
        <v>7552735850</v>
      </c>
      <c r="D16" s="296" t="s">
        <v>237</v>
      </c>
      <c r="E16" s="296" t="s">
        <v>225</v>
      </c>
      <c r="F16" s="296">
        <v>1</v>
      </c>
      <c r="G16" s="296" t="s">
        <v>386</v>
      </c>
      <c r="H16" s="298" t="s">
        <v>7</v>
      </c>
      <c r="I16" s="298" t="str">
        <f>IF(COUNTIF(ピッキングマスタ作成台帳!C:C,C16)&gt;0,"有","")</f>
        <v>有</v>
      </c>
      <c r="J16" s="296"/>
      <c r="K16" s="300">
        <v>1</v>
      </c>
      <c r="L16" s="300">
        <v>2</v>
      </c>
      <c r="M16" s="300">
        <v>1</v>
      </c>
      <c r="N16" s="296"/>
      <c r="O16" s="296"/>
      <c r="P16" s="296"/>
      <c r="Q16" s="296"/>
      <c r="R16" s="296"/>
      <c r="S16" s="296"/>
      <c r="T16" s="296"/>
      <c r="U16" s="296"/>
      <c r="V16" s="296"/>
      <c r="W16" s="296">
        <v>4</v>
      </c>
      <c r="X16" s="296" t="s">
        <v>239</v>
      </c>
      <c r="Y16" s="296" t="s">
        <v>240</v>
      </c>
      <c r="Z16" s="21" t="s">
        <v>578</v>
      </c>
      <c r="AA16" s="50">
        <v>45632</v>
      </c>
      <c r="AB16" s="21" t="s">
        <v>593</v>
      </c>
      <c r="AC16" s="21" t="s">
        <v>580</v>
      </c>
      <c r="AD16" s="34" t="s">
        <v>581</v>
      </c>
      <c r="AE16" s="21">
        <v>0</v>
      </c>
      <c r="AF16" s="21">
        <v>0</v>
      </c>
      <c r="AG16" s="35">
        <v>0</v>
      </c>
      <c r="AH16" s="36" t="s">
        <v>582</v>
      </c>
      <c r="AI16" s="21" t="s">
        <v>582</v>
      </c>
      <c r="AJ16" s="37" t="s">
        <v>582</v>
      </c>
      <c r="AK16" s="7"/>
      <c r="AL16" s="8"/>
      <c r="AR16" s="11" t="e">
        <v>#N/A</v>
      </c>
    </row>
    <row r="17" spans="1:44" s="9" customFormat="1">
      <c r="A17" s="296">
        <v>62</v>
      </c>
      <c r="B17" s="297">
        <v>115</v>
      </c>
      <c r="C17" s="296">
        <v>7552735870</v>
      </c>
      <c r="D17" s="296" t="s">
        <v>244</v>
      </c>
      <c r="E17" s="296" t="s">
        <v>225</v>
      </c>
      <c r="F17" s="296">
        <v>1</v>
      </c>
      <c r="G17" s="296" t="s">
        <v>238</v>
      </c>
      <c r="H17" s="298" t="s">
        <v>7</v>
      </c>
      <c r="I17" s="298" t="str">
        <f>IF(COUNTIF(ピッキングマスタ作成台帳!C:C,C17)&gt;0,"有","")</f>
        <v>有</v>
      </c>
      <c r="J17" s="296"/>
      <c r="K17" s="300">
        <v>1</v>
      </c>
      <c r="L17" s="296"/>
      <c r="M17" s="300">
        <v>1</v>
      </c>
      <c r="N17" s="300">
        <v>7</v>
      </c>
      <c r="O17" s="300">
        <v>18</v>
      </c>
      <c r="P17" s="300">
        <v>22</v>
      </c>
      <c r="Q17" s="300">
        <v>18</v>
      </c>
      <c r="R17" s="296"/>
      <c r="S17" s="300">
        <v>18</v>
      </c>
      <c r="T17" s="300">
        <v>15</v>
      </c>
      <c r="U17" s="300">
        <v>11</v>
      </c>
      <c r="V17" s="300">
        <v>7</v>
      </c>
      <c r="W17" s="296">
        <v>118</v>
      </c>
      <c r="X17" s="296" t="s">
        <v>239</v>
      </c>
      <c r="Y17" s="296" t="s">
        <v>240</v>
      </c>
      <c r="Z17" s="21" t="s">
        <v>578</v>
      </c>
      <c r="AA17" s="50">
        <v>45632</v>
      </c>
      <c r="AB17" s="21" t="s">
        <v>579</v>
      </c>
      <c r="AC17" s="21" t="s">
        <v>580</v>
      </c>
      <c r="AD17" s="34" t="s">
        <v>581</v>
      </c>
      <c r="AE17" s="21">
        <v>0</v>
      </c>
      <c r="AF17" s="21">
        <v>0</v>
      </c>
      <c r="AG17" s="35">
        <v>0</v>
      </c>
      <c r="AH17" s="36" t="s">
        <v>582</v>
      </c>
      <c r="AI17" s="21" t="s">
        <v>582</v>
      </c>
      <c r="AJ17" s="37" t="s">
        <v>582</v>
      </c>
      <c r="AK17" s="7"/>
      <c r="AL17" s="8"/>
      <c r="AR17" s="11" t="e">
        <v>#N/A</v>
      </c>
    </row>
    <row r="18" spans="1:44" s="9" customFormat="1">
      <c r="A18" s="296">
        <v>64</v>
      </c>
      <c r="B18" s="297">
        <v>115</v>
      </c>
      <c r="C18" s="296">
        <v>7552735980</v>
      </c>
      <c r="D18" s="296" t="s">
        <v>237</v>
      </c>
      <c r="E18" s="296" t="s">
        <v>225</v>
      </c>
      <c r="F18" s="296">
        <v>1</v>
      </c>
      <c r="G18" s="296" t="s">
        <v>387</v>
      </c>
      <c r="H18" s="298" t="s">
        <v>7</v>
      </c>
      <c r="I18" s="298" t="str">
        <f>IF(COUNTIF(ピッキングマスタ作成台帳!C:C,C18)&gt;0,"有","")</f>
        <v>有</v>
      </c>
      <c r="J18" s="296"/>
      <c r="K18" s="300">
        <v>1</v>
      </c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>
        <v>1</v>
      </c>
      <c r="X18" s="296" t="s">
        <v>239</v>
      </c>
      <c r="Y18" s="296" t="s">
        <v>240</v>
      </c>
      <c r="Z18" s="21" t="s">
        <v>578</v>
      </c>
      <c r="AA18" s="50">
        <v>45632</v>
      </c>
      <c r="AB18" s="21" t="s">
        <v>593</v>
      </c>
      <c r="AC18" s="21" t="s">
        <v>580</v>
      </c>
      <c r="AD18" s="34" t="s">
        <v>581</v>
      </c>
      <c r="AE18" s="21">
        <v>0</v>
      </c>
      <c r="AF18" s="21">
        <v>0</v>
      </c>
      <c r="AG18" s="35">
        <v>0</v>
      </c>
      <c r="AH18" s="36" t="s">
        <v>582</v>
      </c>
      <c r="AI18" s="21" t="s">
        <v>582</v>
      </c>
      <c r="AJ18" s="37" t="s">
        <v>582</v>
      </c>
      <c r="AK18" s="7"/>
      <c r="AL18" s="8"/>
      <c r="AR18" s="11" t="e">
        <v>#N/A</v>
      </c>
    </row>
    <row r="19" spans="1:44" s="11" customFormat="1">
      <c r="A19" s="296">
        <v>59</v>
      </c>
      <c r="B19" s="297">
        <v>115</v>
      </c>
      <c r="C19" s="296">
        <v>7552735810</v>
      </c>
      <c r="D19" s="296" t="s">
        <v>237</v>
      </c>
      <c r="E19" s="296" t="s">
        <v>262</v>
      </c>
      <c r="F19" s="296">
        <v>1</v>
      </c>
      <c r="G19" s="296" t="s">
        <v>238</v>
      </c>
      <c r="H19" s="298" t="s">
        <v>7</v>
      </c>
      <c r="I19" s="298" t="str">
        <f>IF(COUNTIF(ピッキングマスタ作成台帳!C:C,C19)&gt;0,"有","")</f>
        <v>有</v>
      </c>
      <c r="J19" s="296"/>
      <c r="K19" s="296"/>
      <c r="L19" s="300">
        <v>1</v>
      </c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>
        <v>1</v>
      </c>
      <c r="X19" s="296" t="s">
        <v>239</v>
      </c>
      <c r="Y19" s="296" t="s">
        <v>240</v>
      </c>
      <c r="Z19" s="21" t="s">
        <v>578</v>
      </c>
      <c r="AA19" s="50">
        <v>45632</v>
      </c>
      <c r="AB19" s="21" t="s">
        <v>593</v>
      </c>
      <c r="AC19" s="21" t="s">
        <v>580</v>
      </c>
      <c r="AD19" s="34" t="s">
        <v>581</v>
      </c>
      <c r="AE19" s="21">
        <v>0</v>
      </c>
      <c r="AF19" s="21">
        <v>0</v>
      </c>
      <c r="AG19" s="35">
        <v>0</v>
      </c>
      <c r="AH19" s="36" t="s">
        <v>582</v>
      </c>
      <c r="AI19" s="21" t="s">
        <v>582</v>
      </c>
      <c r="AJ19" s="37" t="s">
        <v>582</v>
      </c>
      <c r="AK19" s="10"/>
      <c r="AL19" s="8"/>
      <c r="AR19" s="11" t="e">
        <v>#N/A</v>
      </c>
    </row>
    <row r="20" spans="1:44" s="9" customFormat="1">
      <c r="A20" s="296">
        <v>55</v>
      </c>
      <c r="B20" s="297">
        <v>115</v>
      </c>
      <c r="C20" s="296">
        <v>7552735190</v>
      </c>
      <c r="D20" s="296" t="s">
        <v>237</v>
      </c>
      <c r="E20" s="296" t="s">
        <v>225</v>
      </c>
      <c r="F20" s="296">
        <v>1</v>
      </c>
      <c r="G20" s="296" t="s">
        <v>238</v>
      </c>
      <c r="H20" s="298" t="s">
        <v>7</v>
      </c>
      <c r="I20" s="298" t="str">
        <f>IF(COUNTIF(ピッキングマスタ作成台帳!C:C,C20)&gt;0,"有","")</f>
        <v>有</v>
      </c>
      <c r="J20" s="296"/>
      <c r="K20" s="296"/>
      <c r="L20" s="296"/>
      <c r="M20" s="300">
        <v>1</v>
      </c>
      <c r="N20" s="300">
        <v>2</v>
      </c>
      <c r="O20" s="300">
        <v>1</v>
      </c>
      <c r="P20" s="300">
        <v>1</v>
      </c>
      <c r="Q20" s="300">
        <v>1</v>
      </c>
      <c r="R20" s="296"/>
      <c r="S20" s="296"/>
      <c r="T20" s="300">
        <v>1</v>
      </c>
      <c r="U20" s="296"/>
      <c r="V20" s="296"/>
      <c r="W20" s="296">
        <v>7</v>
      </c>
      <c r="X20" s="296" t="s">
        <v>239</v>
      </c>
      <c r="Y20" s="296" t="s">
        <v>240</v>
      </c>
      <c r="Z20" s="21" t="s">
        <v>578</v>
      </c>
      <c r="AA20" s="50">
        <v>45632</v>
      </c>
      <c r="AB20" s="21" t="s">
        <v>593</v>
      </c>
      <c r="AC20" s="21" t="s">
        <v>580</v>
      </c>
      <c r="AD20" s="34" t="s">
        <v>581</v>
      </c>
      <c r="AE20" s="21">
        <v>0</v>
      </c>
      <c r="AF20" s="21">
        <v>0</v>
      </c>
      <c r="AG20" s="35">
        <v>0</v>
      </c>
      <c r="AH20" s="36" t="s">
        <v>582</v>
      </c>
      <c r="AI20" s="21" t="s">
        <v>582</v>
      </c>
      <c r="AJ20" s="37" t="s">
        <v>582</v>
      </c>
      <c r="AK20" s="10"/>
      <c r="AL20" s="8"/>
      <c r="AR20" s="11" t="e">
        <v>#N/A</v>
      </c>
    </row>
    <row r="21" spans="1:44" s="11" customFormat="1">
      <c r="A21" s="296">
        <v>63</v>
      </c>
      <c r="B21" s="297">
        <v>115</v>
      </c>
      <c r="C21" s="296">
        <v>7552735890</v>
      </c>
      <c r="D21" s="296" t="s">
        <v>244</v>
      </c>
      <c r="E21" s="296" t="s">
        <v>262</v>
      </c>
      <c r="F21" s="296">
        <v>1</v>
      </c>
      <c r="G21" s="296" t="s">
        <v>238</v>
      </c>
      <c r="H21" s="298" t="s">
        <v>7</v>
      </c>
      <c r="I21" s="298" t="str">
        <f>IF(COUNTIF(ピッキングマスタ作成台帳!C:C,C21)&gt;0,"有","")</f>
        <v>有</v>
      </c>
      <c r="J21" s="296"/>
      <c r="K21" s="296"/>
      <c r="L21" s="296"/>
      <c r="M21" s="296"/>
      <c r="N21" s="300">
        <v>2</v>
      </c>
      <c r="O21" s="300">
        <v>4</v>
      </c>
      <c r="P21" s="300">
        <v>4</v>
      </c>
      <c r="Q21" s="300">
        <v>3</v>
      </c>
      <c r="R21" s="296"/>
      <c r="S21" s="300">
        <v>3</v>
      </c>
      <c r="T21" s="300">
        <v>2</v>
      </c>
      <c r="U21" s="300">
        <v>2</v>
      </c>
      <c r="V21" s="300">
        <v>1</v>
      </c>
      <c r="W21" s="296">
        <v>21</v>
      </c>
      <c r="X21" s="296" t="s">
        <v>239</v>
      </c>
      <c r="Y21" s="296" t="s">
        <v>240</v>
      </c>
      <c r="Z21" s="21" t="s">
        <v>578</v>
      </c>
      <c r="AA21" s="50">
        <v>45632</v>
      </c>
      <c r="AB21" s="21" t="s">
        <v>579</v>
      </c>
      <c r="AC21" s="21" t="s">
        <v>580</v>
      </c>
      <c r="AD21" s="34" t="s">
        <v>581</v>
      </c>
      <c r="AE21" s="21">
        <v>0</v>
      </c>
      <c r="AF21" s="21">
        <v>0</v>
      </c>
      <c r="AG21" s="35">
        <v>0</v>
      </c>
      <c r="AH21" s="36" t="s">
        <v>582</v>
      </c>
      <c r="AI21" s="21" t="s">
        <v>582</v>
      </c>
      <c r="AJ21" s="37" t="s">
        <v>582</v>
      </c>
      <c r="AK21" s="7"/>
      <c r="AL21" s="8"/>
      <c r="AR21" s="11" t="e">
        <v>#N/A</v>
      </c>
    </row>
    <row r="22" spans="1:44" s="11" customFormat="1">
      <c r="A22" s="296">
        <v>65</v>
      </c>
      <c r="B22" s="297">
        <v>115</v>
      </c>
      <c r="C22" s="296">
        <v>7552736030</v>
      </c>
      <c r="D22" s="296" t="s">
        <v>244</v>
      </c>
      <c r="E22" s="296" t="s">
        <v>225</v>
      </c>
      <c r="F22" s="296">
        <v>1</v>
      </c>
      <c r="G22" s="296" t="s">
        <v>388</v>
      </c>
      <c r="H22" s="298" t="s">
        <v>7</v>
      </c>
      <c r="I22" s="298" t="str">
        <f>IF(COUNTIF(ピッキングマスタ作成台帳!C:C,C22)&gt;0,"有","")</f>
        <v>有</v>
      </c>
      <c r="J22" s="296"/>
      <c r="K22" s="296"/>
      <c r="L22" s="296"/>
      <c r="M22" s="296"/>
      <c r="N22" s="300">
        <v>1</v>
      </c>
      <c r="O22" s="300">
        <v>4</v>
      </c>
      <c r="P22" s="300">
        <v>4</v>
      </c>
      <c r="Q22" s="300">
        <v>3</v>
      </c>
      <c r="R22" s="296"/>
      <c r="S22" s="300">
        <v>4</v>
      </c>
      <c r="T22" s="300">
        <v>4</v>
      </c>
      <c r="U22" s="300">
        <v>2</v>
      </c>
      <c r="V22" s="300">
        <v>1</v>
      </c>
      <c r="W22" s="296">
        <v>23</v>
      </c>
      <c r="X22" s="296" t="s">
        <v>239</v>
      </c>
      <c r="Y22" s="296" t="s">
        <v>240</v>
      </c>
      <c r="Z22" s="21" t="s">
        <v>578</v>
      </c>
      <c r="AA22" s="50">
        <v>45632</v>
      </c>
      <c r="AB22" s="21" t="s">
        <v>579</v>
      </c>
      <c r="AC22" s="21" t="s">
        <v>580</v>
      </c>
      <c r="AD22" s="34" t="s">
        <v>581</v>
      </c>
      <c r="AE22" s="21">
        <v>0</v>
      </c>
      <c r="AF22" s="21">
        <v>0</v>
      </c>
      <c r="AG22" s="35">
        <v>0</v>
      </c>
      <c r="AH22" s="36" t="s">
        <v>582</v>
      </c>
      <c r="AI22" s="21" t="s">
        <v>582</v>
      </c>
      <c r="AJ22" s="37" t="s">
        <v>582</v>
      </c>
      <c r="AK22" s="7"/>
      <c r="AL22" s="8"/>
      <c r="AR22" s="11" t="e">
        <v>#N/A</v>
      </c>
    </row>
    <row r="23" spans="1:44" s="9" customFormat="1">
      <c r="A23" s="296">
        <v>390</v>
      </c>
      <c r="B23" s="297" t="s">
        <v>255</v>
      </c>
      <c r="C23" s="296">
        <v>7552282532</v>
      </c>
      <c r="D23" s="296" t="s">
        <v>297</v>
      </c>
      <c r="E23" s="336" t="s">
        <v>290</v>
      </c>
      <c r="F23" s="296">
        <v>1</v>
      </c>
      <c r="G23" s="296" t="s">
        <v>238</v>
      </c>
      <c r="H23" s="298" t="s">
        <v>7</v>
      </c>
      <c r="I23" s="298" t="str">
        <f>IF(COUNTIF(ピッキングマスタ作成台帳!C:C,C23)&gt;0,"有","")</f>
        <v/>
      </c>
      <c r="J23" s="296"/>
      <c r="K23" s="296"/>
      <c r="L23" s="296"/>
      <c r="M23" s="296"/>
      <c r="N23" s="296"/>
      <c r="O23" s="296"/>
      <c r="P23" s="296"/>
      <c r="Q23" s="296"/>
      <c r="R23" s="296"/>
      <c r="S23" s="300">
        <v>3</v>
      </c>
      <c r="T23" s="296"/>
      <c r="U23" s="296"/>
      <c r="V23" s="296"/>
      <c r="W23" s="296">
        <v>3</v>
      </c>
      <c r="X23" s="296" t="s">
        <v>239</v>
      </c>
      <c r="Y23" s="296" t="s">
        <v>246</v>
      </c>
      <c r="Z23" s="21" t="s">
        <v>61</v>
      </c>
      <c r="AA23" s="50">
        <v>45527</v>
      </c>
      <c r="AB23" s="21" t="s">
        <v>597</v>
      </c>
      <c r="AC23" s="21" t="s">
        <v>598</v>
      </c>
      <c r="AD23" s="34" t="s">
        <v>81</v>
      </c>
      <c r="AE23" s="21">
        <v>0</v>
      </c>
      <c r="AF23" s="21">
        <v>0</v>
      </c>
      <c r="AG23" s="35">
        <v>0</v>
      </c>
      <c r="AH23" s="36" t="s">
        <v>582</v>
      </c>
      <c r="AI23" s="21" t="s">
        <v>582</v>
      </c>
      <c r="AJ23" s="37" t="s">
        <v>582</v>
      </c>
      <c r="AK23" s="7"/>
      <c r="AL23" s="8"/>
      <c r="AR23" s="11" t="e">
        <v>#N/A</v>
      </c>
    </row>
    <row r="24" spans="1:44" s="9" customFormat="1">
      <c r="A24" s="296">
        <v>648</v>
      </c>
      <c r="B24" s="297" t="s">
        <v>255</v>
      </c>
      <c r="C24" s="296">
        <v>7552703000</v>
      </c>
      <c r="D24" s="296" t="s">
        <v>9</v>
      </c>
      <c r="E24" s="296" t="s">
        <v>226</v>
      </c>
      <c r="F24" s="296">
        <v>3</v>
      </c>
      <c r="G24" s="296" t="s">
        <v>238</v>
      </c>
      <c r="H24" s="301" t="s">
        <v>7</v>
      </c>
      <c r="I24" s="301" t="str">
        <f>IF(COUNTIF(ピッキングマスタ作成台帳!C:C,C24)&gt;0,"有","")</f>
        <v>有</v>
      </c>
      <c r="J24" s="300">
        <v>6</v>
      </c>
      <c r="K24" s="300">
        <v>12</v>
      </c>
      <c r="L24" s="300">
        <v>12</v>
      </c>
      <c r="M24" s="300">
        <v>12</v>
      </c>
      <c r="N24" s="296"/>
      <c r="O24" s="300">
        <v>24</v>
      </c>
      <c r="P24" s="296"/>
      <c r="Q24" s="296"/>
      <c r="R24" s="296"/>
      <c r="S24" s="296"/>
      <c r="T24" s="296"/>
      <c r="U24" s="296"/>
      <c r="V24" s="296"/>
      <c r="W24" s="296">
        <v>66</v>
      </c>
      <c r="X24" s="296" t="s">
        <v>239</v>
      </c>
      <c r="Y24" s="296" t="s">
        <v>242</v>
      </c>
      <c r="Z24" s="21" t="s">
        <v>583</v>
      </c>
      <c r="AA24" s="50">
        <v>45726</v>
      </c>
      <c r="AB24" s="21" t="s">
        <v>584</v>
      </c>
      <c r="AC24" s="21" t="s">
        <v>585</v>
      </c>
      <c r="AD24" s="34" t="s">
        <v>586</v>
      </c>
      <c r="AE24" s="21">
        <v>0</v>
      </c>
      <c r="AF24" s="21" t="s">
        <v>236</v>
      </c>
      <c r="AG24" s="35">
        <v>0</v>
      </c>
      <c r="AH24" s="36" t="s">
        <v>582</v>
      </c>
      <c r="AI24" s="21" t="s">
        <v>582</v>
      </c>
      <c r="AJ24" s="37" t="s">
        <v>582</v>
      </c>
      <c r="AK24" s="7"/>
      <c r="AL24" s="8"/>
      <c r="AR24" s="11" t="e">
        <v>#N/A</v>
      </c>
    </row>
    <row r="25" spans="1:44" s="9" customFormat="1">
      <c r="A25" s="296">
        <v>428</v>
      </c>
      <c r="B25" s="297" t="s">
        <v>255</v>
      </c>
      <c r="C25" s="296">
        <v>7552714200</v>
      </c>
      <c r="D25" s="296" t="s">
        <v>266</v>
      </c>
      <c r="E25" s="337" t="s">
        <v>267</v>
      </c>
      <c r="F25" s="296">
        <v>1</v>
      </c>
      <c r="G25" s="296" t="s">
        <v>238</v>
      </c>
      <c r="H25" s="301" t="s">
        <v>7</v>
      </c>
      <c r="I25" s="301" t="str">
        <f>IF(COUNTIF(ピッキングマスタ作成台帳!C:C,C25)&gt;0,"有","")</f>
        <v>有</v>
      </c>
      <c r="J25" s="300">
        <v>1</v>
      </c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>
        <v>1</v>
      </c>
      <c r="X25" s="296" t="s">
        <v>239</v>
      </c>
      <c r="Y25" s="296" t="s">
        <v>254</v>
      </c>
      <c r="Z25" s="21" t="s">
        <v>599</v>
      </c>
      <c r="AA25" s="50">
        <v>45575</v>
      </c>
      <c r="AB25" s="21" t="s">
        <v>480</v>
      </c>
      <c r="AC25" s="21" t="s">
        <v>600</v>
      </c>
      <c r="AD25" s="34" t="s">
        <v>267</v>
      </c>
      <c r="AE25" s="21" t="s">
        <v>582</v>
      </c>
      <c r="AF25" s="21">
        <v>0</v>
      </c>
      <c r="AG25" s="35">
        <v>0</v>
      </c>
      <c r="AH25" s="36" t="s">
        <v>582</v>
      </c>
      <c r="AI25" s="21" t="s">
        <v>582</v>
      </c>
      <c r="AJ25" s="37" t="s">
        <v>582</v>
      </c>
      <c r="AK25" s="7"/>
      <c r="AL25" s="8"/>
      <c r="AR25" s="11" t="e">
        <v>#N/A</v>
      </c>
    </row>
    <row r="26" spans="1:44" s="9" customFormat="1">
      <c r="A26" s="296">
        <v>167</v>
      </c>
      <c r="B26" s="297" t="s">
        <v>255</v>
      </c>
      <c r="C26" s="296">
        <v>7551885272</v>
      </c>
      <c r="D26" s="296" t="s">
        <v>257</v>
      </c>
      <c r="E26" s="296" t="s">
        <v>268</v>
      </c>
      <c r="F26" s="296">
        <v>1</v>
      </c>
      <c r="G26" s="296" t="s">
        <v>238</v>
      </c>
      <c r="H26" s="298" t="s">
        <v>7</v>
      </c>
      <c r="I26" s="298" t="str">
        <f>IF(COUNTIF(ピッキングマスタ作成台帳!C:C,C26)&gt;0,"有","")</f>
        <v>有</v>
      </c>
      <c r="J26" s="296"/>
      <c r="K26" s="300">
        <v>1</v>
      </c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>
        <v>1</v>
      </c>
      <c r="X26" s="296" t="s">
        <v>239</v>
      </c>
      <c r="Y26" s="296" t="s">
        <v>246</v>
      </c>
      <c r="Z26" s="21" t="s">
        <v>601</v>
      </c>
      <c r="AA26" s="50">
        <v>45202</v>
      </c>
      <c r="AB26" s="21" t="s">
        <v>602</v>
      </c>
      <c r="AC26" s="21" t="s">
        <v>603</v>
      </c>
      <c r="AD26" s="34" t="s">
        <v>604</v>
      </c>
      <c r="AE26" s="21" t="s">
        <v>605</v>
      </c>
      <c r="AF26" s="21" t="s">
        <v>255</v>
      </c>
      <c r="AG26" s="35" t="s">
        <v>606</v>
      </c>
      <c r="AH26" s="36" t="s">
        <v>582</v>
      </c>
      <c r="AI26" s="21" t="s">
        <v>582</v>
      </c>
      <c r="AJ26" s="37" t="s">
        <v>582</v>
      </c>
      <c r="AK26" s="7"/>
      <c r="AL26" s="8"/>
      <c r="AR26" s="11" t="e">
        <v>#N/A</v>
      </c>
    </row>
    <row r="27" spans="1:44" s="9" customFormat="1">
      <c r="A27" s="296">
        <v>203</v>
      </c>
      <c r="B27" s="297" t="s">
        <v>255</v>
      </c>
      <c r="C27" s="296">
        <v>7551885911</v>
      </c>
      <c r="D27" s="296" t="s">
        <v>256</v>
      </c>
      <c r="E27" s="296" t="s">
        <v>264</v>
      </c>
      <c r="F27" s="296">
        <v>1</v>
      </c>
      <c r="G27" s="296" t="s">
        <v>238</v>
      </c>
      <c r="H27" s="298" t="s">
        <v>7</v>
      </c>
      <c r="I27" s="298" t="str">
        <f>IF(COUNTIF(ピッキングマスタ作成台帳!C:C,C27)&gt;0,"有","")</f>
        <v>有</v>
      </c>
      <c r="J27" s="296"/>
      <c r="K27" s="300">
        <v>1</v>
      </c>
      <c r="L27" s="300">
        <v>5</v>
      </c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>
        <v>6</v>
      </c>
      <c r="X27" s="296" t="s">
        <v>239</v>
      </c>
      <c r="Y27" s="296" t="s">
        <v>240</v>
      </c>
      <c r="Z27" s="21" t="s">
        <v>607</v>
      </c>
      <c r="AA27" s="50">
        <v>45677</v>
      </c>
      <c r="AB27" s="21" t="s">
        <v>608</v>
      </c>
      <c r="AC27" s="21" t="s">
        <v>609</v>
      </c>
      <c r="AD27" s="34" t="s">
        <v>610</v>
      </c>
      <c r="AE27" s="21">
        <v>0</v>
      </c>
      <c r="AF27" s="21">
        <v>0</v>
      </c>
      <c r="AG27" s="35">
        <v>0</v>
      </c>
      <c r="AH27" s="36" t="s">
        <v>582</v>
      </c>
      <c r="AI27" s="21" t="s">
        <v>582</v>
      </c>
      <c r="AJ27" s="37" t="s">
        <v>582</v>
      </c>
      <c r="AK27" s="7"/>
      <c r="AL27" s="8"/>
      <c r="AR27" s="11" t="e">
        <v>#N/A</v>
      </c>
    </row>
    <row r="28" spans="1:44" s="11" customFormat="1">
      <c r="A28" s="296">
        <v>443</v>
      </c>
      <c r="B28" s="297" t="s">
        <v>255</v>
      </c>
      <c r="C28" s="296">
        <v>8972681162</v>
      </c>
      <c r="D28" s="296" t="s">
        <v>256</v>
      </c>
      <c r="E28" s="296" t="s">
        <v>264</v>
      </c>
      <c r="F28" s="296">
        <v>1</v>
      </c>
      <c r="G28" s="296" t="s">
        <v>238</v>
      </c>
      <c r="H28" s="298" t="s">
        <v>7</v>
      </c>
      <c r="I28" s="298" t="str">
        <f>IF(COUNTIF(ピッキングマスタ作成台帳!C:C,C28)&gt;0,"有","")</f>
        <v>有</v>
      </c>
      <c r="J28" s="296"/>
      <c r="K28" s="300">
        <v>1</v>
      </c>
      <c r="L28" s="296"/>
      <c r="M28" s="296"/>
      <c r="N28" s="296"/>
      <c r="O28" s="296"/>
      <c r="P28" s="296"/>
      <c r="Q28" s="300">
        <v>1</v>
      </c>
      <c r="R28" s="296"/>
      <c r="S28" s="300">
        <v>1</v>
      </c>
      <c r="T28" s="300">
        <v>1</v>
      </c>
      <c r="U28" s="296"/>
      <c r="V28" s="296"/>
      <c r="W28" s="296">
        <v>4</v>
      </c>
      <c r="X28" s="296" t="s">
        <v>239</v>
      </c>
      <c r="Y28" s="296" t="s">
        <v>240</v>
      </c>
      <c r="Z28" s="21" t="s">
        <v>607</v>
      </c>
      <c r="AA28" s="50">
        <v>45677</v>
      </c>
      <c r="AB28" s="21" t="s">
        <v>608</v>
      </c>
      <c r="AC28" s="21" t="s">
        <v>609</v>
      </c>
      <c r="AD28" s="34" t="s">
        <v>610</v>
      </c>
      <c r="AE28" s="21">
        <v>0</v>
      </c>
      <c r="AF28" s="21">
        <v>0</v>
      </c>
      <c r="AG28" s="35">
        <v>0</v>
      </c>
      <c r="AH28" s="36" t="s">
        <v>582</v>
      </c>
      <c r="AI28" s="21" t="s">
        <v>582</v>
      </c>
      <c r="AJ28" s="37" t="s">
        <v>582</v>
      </c>
      <c r="AK28" s="10"/>
      <c r="AL28" s="8"/>
      <c r="AR28" s="11" t="e">
        <v>#N/A</v>
      </c>
    </row>
    <row r="29" spans="1:44" s="11" customFormat="1">
      <c r="A29" s="296">
        <v>204</v>
      </c>
      <c r="B29" s="297" t="s">
        <v>255</v>
      </c>
      <c r="C29" s="296">
        <v>7551885921</v>
      </c>
      <c r="D29" s="296" t="s">
        <v>256</v>
      </c>
      <c r="E29" s="296" t="s">
        <v>271</v>
      </c>
      <c r="F29" s="296">
        <v>1</v>
      </c>
      <c r="G29" s="296" t="s">
        <v>238</v>
      </c>
      <c r="H29" s="298" t="s">
        <v>7</v>
      </c>
      <c r="I29" s="298" t="str">
        <f>IF(COUNTIF(ピッキングマスタ作成台帳!C:C,C29)&gt;0,"有","")</f>
        <v>有</v>
      </c>
      <c r="J29" s="296"/>
      <c r="K29" s="300">
        <v>1</v>
      </c>
      <c r="L29" s="300">
        <v>3</v>
      </c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>
        <v>4</v>
      </c>
      <c r="X29" s="296" t="s">
        <v>239</v>
      </c>
      <c r="Y29" s="296" t="s">
        <v>240</v>
      </c>
      <c r="Z29" s="21" t="s">
        <v>607</v>
      </c>
      <c r="AA29" s="50">
        <v>45677</v>
      </c>
      <c r="AB29" s="21" t="s">
        <v>608</v>
      </c>
      <c r="AC29" s="21" t="s">
        <v>609</v>
      </c>
      <c r="AD29" s="34" t="s">
        <v>610</v>
      </c>
      <c r="AE29" s="21">
        <v>0</v>
      </c>
      <c r="AF29" s="21">
        <v>0</v>
      </c>
      <c r="AG29" s="35">
        <v>0</v>
      </c>
      <c r="AH29" s="36" t="s">
        <v>582</v>
      </c>
      <c r="AI29" s="21" t="s">
        <v>582</v>
      </c>
      <c r="AJ29" s="37" t="s">
        <v>582</v>
      </c>
      <c r="AK29" s="7"/>
      <c r="AL29" s="8"/>
      <c r="AR29" s="11" t="e">
        <v>#N/A</v>
      </c>
    </row>
    <row r="30" spans="1:44" s="9" customFormat="1">
      <c r="A30" s="296">
        <v>599</v>
      </c>
      <c r="B30" s="297" t="s">
        <v>255</v>
      </c>
      <c r="C30" s="296">
        <v>8978794961</v>
      </c>
      <c r="D30" s="296" t="s">
        <v>256</v>
      </c>
      <c r="E30" s="296" t="s">
        <v>88</v>
      </c>
      <c r="F30" s="296">
        <v>1</v>
      </c>
      <c r="G30" s="296" t="s">
        <v>238</v>
      </c>
      <c r="H30" s="298" t="s">
        <v>7</v>
      </c>
      <c r="I30" s="298" t="str">
        <f>IF(COUNTIF(ピッキングマスタ作成台帳!C:C,C30)&gt;0,"有","")</f>
        <v>有</v>
      </c>
      <c r="J30" s="296"/>
      <c r="K30" s="300">
        <v>1</v>
      </c>
      <c r="L30" s="300">
        <v>4</v>
      </c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>
        <v>5</v>
      </c>
      <c r="X30" s="296" t="s">
        <v>239</v>
      </c>
      <c r="Y30" s="296" t="s">
        <v>240</v>
      </c>
      <c r="Z30" s="21" t="s">
        <v>607</v>
      </c>
      <c r="AA30" s="50">
        <v>45677</v>
      </c>
      <c r="AB30" s="21" t="s">
        <v>608</v>
      </c>
      <c r="AC30" s="21" t="s">
        <v>609</v>
      </c>
      <c r="AD30" s="34" t="s">
        <v>610</v>
      </c>
      <c r="AE30" s="21">
        <v>0</v>
      </c>
      <c r="AF30" s="21">
        <v>0</v>
      </c>
      <c r="AG30" s="35">
        <v>0</v>
      </c>
      <c r="AH30" s="36" t="s">
        <v>582</v>
      </c>
      <c r="AI30" s="21" t="s">
        <v>582</v>
      </c>
      <c r="AJ30" s="37" t="s">
        <v>582</v>
      </c>
      <c r="AK30" s="7"/>
      <c r="AL30" s="8"/>
      <c r="AR30" s="11" t="e">
        <v>#N/A</v>
      </c>
    </row>
    <row r="31" spans="1:44" s="11" customFormat="1">
      <c r="A31" s="296">
        <v>600</v>
      </c>
      <c r="B31" s="297" t="s">
        <v>255</v>
      </c>
      <c r="C31" s="296">
        <v>8978794971</v>
      </c>
      <c r="D31" s="296" t="s">
        <v>256</v>
      </c>
      <c r="E31" s="296" t="s">
        <v>88</v>
      </c>
      <c r="F31" s="296">
        <v>1</v>
      </c>
      <c r="G31" s="296" t="s">
        <v>238</v>
      </c>
      <c r="H31" s="298" t="s">
        <v>7</v>
      </c>
      <c r="I31" s="298" t="str">
        <f>IF(COUNTIF(ピッキングマスタ作成台帳!C:C,C31)&gt;0,"有","")</f>
        <v>有</v>
      </c>
      <c r="J31" s="296"/>
      <c r="K31" s="300">
        <v>1</v>
      </c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>
        <v>1</v>
      </c>
      <c r="X31" s="296" t="s">
        <v>239</v>
      </c>
      <c r="Y31" s="296" t="s">
        <v>240</v>
      </c>
      <c r="Z31" s="21" t="s">
        <v>607</v>
      </c>
      <c r="AA31" s="50">
        <v>45677</v>
      </c>
      <c r="AB31" s="21" t="s">
        <v>608</v>
      </c>
      <c r="AC31" s="21" t="s">
        <v>609</v>
      </c>
      <c r="AD31" s="34" t="s">
        <v>610</v>
      </c>
      <c r="AE31" s="21">
        <v>0</v>
      </c>
      <c r="AF31" s="21" t="s">
        <v>255</v>
      </c>
      <c r="AG31" s="35">
        <v>0</v>
      </c>
      <c r="AH31" s="36" t="s">
        <v>582</v>
      </c>
      <c r="AI31" s="21" t="s">
        <v>582</v>
      </c>
      <c r="AJ31" s="37" t="s">
        <v>582</v>
      </c>
      <c r="AK31" s="7"/>
      <c r="AL31" s="8"/>
      <c r="AR31" s="11" t="e">
        <v>#N/A</v>
      </c>
    </row>
    <row r="32" spans="1:44" s="9" customFormat="1">
      <c r="A32" s="296">
        <v>601</v>
      </c>
      <c r="B32" s="297" t="s">
        <v>255</v>
      </c>
      <c r="C32" s="296">
        <v>8978794982</v>
      </c>
      <c r="D32" s="296" t="s">
        <v>256</v>
      </c>
      <c r="E32" s="296" t="s">
        <v>88</v>
      </c>
      <c r="F32" s="296">
        <v>1</v>
      </c>
      <c r="G32" s="296" t="s">
        <v>238</v>
      </c>
      <c r="H32" s="298" t="s">
        <v>7</v>
      </c>
      <c r="I32" s="298" t="str">
        <f>IF(COUNTIF(ピッキングマスタ作成台帳!C:C,C32)&gt;0,"有","")</f>
        <v>有</v>
      </c>
      <c r="J32" s="296"/>
      <c r="K32" s="300">
        <v>1</v>
      </c>
      <c r="L32" s="300">
        <v>1</v>
      </c>
      <c r="M32" s="300">
        <v>1</v>
      </c>
      <c r="N32" s="300">
        <v>2</v>
      </c>
      <c r="O32" s="296"/>
      <c r="P32" s="296"/>
      <c r="Q32" s="296"/>
      <c r="R32" s="296"/>
      <c r="S32" s="296"/>
      <c r="T32" s="296"/>
      <c r="U32" s="296"/>
      <c r="V32" s="296"/>
      <c r="W32" s="296">
        <v>5</v>
      </c>
      <c r="X32" s="296" t="s">
        <v>239</v>
      </c>
      <c r="Y32" s="296" t="s">
        <v>240</v>
      </c>
      <c r="Z32" s="21" t="s">
        <v>607</v>
      </c>
      <c r="AA32" s="50">
        <v>45677</v>
      </c>
      <c r="AB32" s="21" t="s">
        <v>608</v>
      </c>
      <c r="AC32" s="21" t="s">
        <v>609</v>
      </c>
      <c r="AD32" s="34" t="s">
        <v>610</v>
      </c>
      <c r="AE32" s="21">
        <v>0</v>
      </c>
      <c r="AF32" s="21">
        <v>0</v>
      </c>
      <c r="AG32" s="35">
        <v>0</v>
      </c>
      <c r="AH32" s="36" t="s">
        <v>582</v>
      </c>
      <c r="AI32" s="21" t="s">
        <v>582</v>
      </c>
      <c r="AJ32" s="37" t="s">
        <v>582</v>
      </c>
      <c r="AK32" s="7"/>
      <c r="AL32" s="8"/>
      <c r="AR32" s="11" t="e">
        <v>#N/A</v>
      </c>
    </row>
    <row r="33" spans="1:44" s="11" customFormat="1">
      <c r="A33" s="296">
        <v>270</v>
      </c>
      <c r="B33" s="297" t="s">
        <v>255</v>
      </c>
      <c r="C33" s="296">
        <v>7551910170</v>
      </c>
      <c r="D33" s="296" t="s">
        <v>245</v>
      </c>
      <c r="E33" s="296" t="s">
        <v>272</v>
      </c>
      <c r="F33" s="296">
        <v>1</v>
      </c>
      <c r="G33" s="296" t="s">
        <v>238</v>
      </c>
      <c r="H33" s="298" t="s">
        <v>7</v>
      </c>
      <c r="I33" s="298" t="str">
        <f>IF(COUNTIF(ピッキングマスタ作成台帳!C:C,C33)&gt;0,"有","")</f>
        <v>有</v>
      </c>
      <c r="J33" s="296"/>
      <c r="K33" s="296"/>
      <c r="L33" s="300">
        <v>1</v>
      </c>
      <c r="M33" s="300">
        <v>1</v>
      </c>
      <c r="N33" s="296"/>
      <c r="O33" s="296"/>
      <c r="P33" s="296"/>
      <c r="Q33" s="296"/>
      <c r="R33" s="296"/>
      <c r="S33" s="296"/>
      <c r="T33" s="296"/>
      <c r="U33" s="296"/>
      <c r="V33" s="296"/>
      <c r="W33" s="296">
        <v>2</v>
      </c>
      <c r="X33" s="296" t="s">
        <v>239</v>
      </c>
      <c r="Y33" s="296" t="s">
        <v>246</v>
      </c>
      <c r="Z33" s="21" t="s">
        <v>611</v>
      </c>
      <c r="AA33" s="50">
        <v>44963</v>
      </c>
      <c r="AB33" s="21" t="s">
        <v>612</v>
      </c>
      <c r="AC33" s="21" t="s">
        <v>280</v>
      </c>
      <c r="AD33" s="34" t="s">
        <v>613</v>
      </c>
      <c r="AE33" s="21" t="s">
        <v>614</v>
      </c>
      <c r="AF33" s="21" t="s">
        <v>255</v>
      </c>
      <c r="AG33" s="35" t="s">
        <v>615</v>
      </c>
      <c r="AH33" s="36" t="s">
        <v>582</v>
      </c>
      <c r="AI33" s="21" t="s">
        <v>582</v>
      </c>
      <c r="AJ33" s="37" t="s">
        <v>582</v>
      </c>
      <c r="AK33" s="7"/>
      <c r="AL33" s="8"/>
      <c r="AR33" s="11" t="e">
        <v>#N/A</v>
      </c>
    </row>
    <row r="34" spans="1:44" s="9" customFormat="1">
      <c r="A34" s="296">
        <v>432</v>
      </c>
      <c r="B34" s="297" t="s">
        <v>255</v>
      </c>
      <c r="C34" s="296">
        <v>7552736020</v>
      </c>
      <c r="D34" s="296" t="s">
        <v>244</v>
      </c>
      <c r="E34" s="296" t="s">
        <v>262</v>
      </c>
      <c r="F34" s="296">
        <v>1</v>
      </c>
      <c r="G34" s="296" t="s">
        <v>238</v>
      </c>
      <c r="H34" s="298" t="s">
        <v>7</v>
      </c>
      <c r="I34" s="298" t="str">
        <f>IF(COUNTIF(ピッキングマスタ作成台帳!C:C,C34)&gt;0,"有","")</f>
        <v>有</v>
      </c>
      <c r="J34" s="296"/>
      <c r="K34" s="296"/>
      <c r="L34" s="300">
        <v>5</v>
      </c>
      <c r="M34" s="300">
        <v>19</v>
      </c>
      <c r="N34" s="296"/>
      <c r="O34" s="296"/>
      <c r="P34" s="296"/>
      <c r="Q34" s="300">
        <v>4</v>
      </c>
      <c r="R34" s="296"/>
      <c r="S34" s="300">
        <v>11</v>
      </c>
      <c r="T34" s="300">
        <v>12</v>
      </c>
      <c r="U34" s="300">
        <v>11</v>
      </c>
      <c r="V34" s="300">
        <v>8</v>
      </c>
      <c r="W34" s="296">
        <v>70</v>
      </c>
      <c r="X34" s="296" t="s">
        <v>239</v>
      </c>
      <c r="Y34" s="296" t="s">
        <v>240</v>
      </c>
      <c r="Z34" s="21" t="s">
        <v>578</v>
      </c>
      <c r="AA34" s="50">
        <v>45632</v>
      </c>
      <c r="AB34" s="21" t="s">
        <v>579</v>
      </c>
      <c r="AC34" s="21" t="s">
        <v>580</v>
      </c>
      <c r="AD34" s="34" t="s">
        <v>581</v>
      </c>
      <c r="AE34" s="21">
        <v>0</v>
      </c>
      <c r="AF34" s="21" t="s">
        <v>236</v>
      </c>
      <c r="AG34" s="35">
        <v>0</v>
      </c>
      <c r="AH34" s="36" t="s">
        <v>582</v>
      </c>
      <c r="AI34" s="21" t="s">
        <v>582</v>
      </c>
      <c r="AJ34" s="37" t="s">
        <v>582</v>
      </c>
      <c r="AK34" s="7"/>
      <c r="AL34" s="8"/>
      <c r="AR34" s="11" t="e">
        <v>#N/A</v>
      </c>
    </row>
    <row r="35" spans="1:44" s="11" customFormat="1">
      <c r="A35" s="296">
        <v>404</v>
      </c>
      <c r="B35" s="297" t="s">
        <v>255</v>
      </c>
      <c r="C35" s="296">
        <v>7552626170</v>
      </c>
      <c r="D35" s="296" t="s">
        <v>256</v>
      </c>
      <c r="E35" s="296" t="s">
        <v>353</v>
      </c>
      <c r="F35" s="296">
        <v>1</v>
      </c>
      <c r="G35" s="296" t="s">
        <v>238</v>
      </c>
      <c r="H35" s="298" t="s">
        <v>7</v>
      </c>
      <c r="I35" s="298" t="str">
        <f>IF(COUNTIF(ピッキングマスタ作成台帳!C:C,C35)&gt;0,"有","")</f>
        <v>有</v>
      </c>
      <c r="J35" s="296"/>
      <c r="K35" s="296"/>
      <c r="L35" s="300">
        <v>1</v>
      </c>
      <c r="M35" s="300">
        <v>1</v>
      </c>
      <c r="N35" s="296"/>
      <c r="O35" s="296"/>
      <c r="P35" s="296"/>
      <c r="Q35" s="296"/>
      <c r="R35" s="296"/>
      <c r="S35" s="296"/>
      <c r="T35" s="296"/>
      <c r="U35" s="296"/>
      <c r="V35" s="296"/>
      <c r="W35" s="296">
        <v>2</v>
      </c>
      <c r="X35" s="296" t="s">
        <v>239</v>
      </c>
      <c r="Y35" s="296" t="s">
        <v>240</v>
      </c>
      <c r="Z35" s="21" t="s">
        <v>616</v>
      </c>
      <c r="AA35" s="50">
        <v>45693</v>
      </c>
      <c r="AB35" s="21" t="s">
        <v>608</v>
      </c>
      <c r="AC35" s="21" t="s">
        <v>617</v>
      </c>
      <c r="AD35" s="34" t="s">
        <v>618</v>
      </c>
      <c r="AE35" s="21">
        <v>0</v>
      </c>
      <c r="AF35" s="21">
        <v>0</v>
      </c>
      <c r="AG35" s="35">
        <v>0</v>
      </c>
      <c r="AH35" s="36" t="s">
        <v>582</v>
      </c>
      <c r="AI35" s="21" t="s">
        <v>582</v>
      </c>
      <c r="AJ35" s="37" t="s">
        <v>582</v>
      </c>
      <c r="AK35" s="7"/>
      <c r="AL35" s="8"/>
      <c r="AR35" s="11" t="e">
        <v>#N/A</v>
      </c>
    </row>
    <row r="36" spans="1:44" s="11" customFormat="1">
      <c r="A36" s="296">
        <v>647</v>
      </c>
      <c r="B36" s="297" t="s">
        <v>255</v>
      </c>
      <c r="C36" s="296">
        <v>7552702970</v>
      </c>
      <c r="D36" s="296" t="s">
        <v>263</v>
      </c>
      <c r="E36" s="296" t="s">
        <v>241</v>
      </c>
      <c r="F36" s="296">
        <v>3</v>
      </c>
      <c r="G36" s="296" t="s">
        <v>238</v>
      </c>
      <c r="H36" s="298" t="s">
        <v>7</v>
      </c>
      <c r="I36" s="298" t="str">
        <f>IF(COUNTIF(ピッキングマスタ作成台帳!C:C,C36)&gt;0,"有","")</f>
        <v>有</v>
      </c>
      <c r="J36" s="296"/>
      <c r="K36" s="296"/>
      <c r="L36" s="300">
        <v>6</v>
      </c>
      <c r="M36" s="296"/>
      <c r="N36" s="300">
        <v>30</v>
      </c>
      <c r="O36" s="300">
        <v>12</v>
      </c>
      <c r="P36" s="296"/>
      <c r="Q36" s="296"/>
      <c r="R36" s="296"/>
      <c r="S36" s="296"/>
      <c r="T36" s="296"/>
      <c r="U36" s="296"/>
      <c r="V36" s="296"/>
      <c r="W36" s="296">
        <v>48</v>
      </c>
      <c r="X36" s="296" t="s">
        <v>239</v>
      </c>
      <c r="Y36" s="296" t="s">
        <v>242</v>
      </c>
      <c r="Z36" s="21" t="s">
        <v>583</v>
      </c>
      <c r="AA36" s="50">
        <v>45726</v>
      </c>
      <c r="AB36" s="21" t="s">
        <v>584</v>
      </c>
      <c r="AC36" s="21" t="s">
        <v>585</v>
      </c>
      <c r="AD36" s="34" t="s">
        <v>586</v>
      </c>
      <c r="AE36" s="21">
        <v>0</v>
      </c>
      <c r="AF36" s="21" t="s">
        <v>591</v>
      </c>
      <c r="AG36" s="35">
        <v>0</v>
      </c>
      <c r="AH36" s="36" t="s">
        <v>582</v>
      </c>
      <c r="AI36" s="21" t="s">
        <v>582</v>
      </c>
      <c r="AJ36" s="37" t="s">
        <v>582</v>
      </c>
      <c r="AK36" s="7"/>
      <c r="AL36" s="8"/>
      <c r="AR36" s="11" t="e">
        <v>#N/A</v>
      </c>
    </row>
    <row r="37" spans="1:44" s="9" customFormat="1">
      <c r="A37" s="296">
        <v>431</v>
      </c>
      <c r="B37" s="297" t="s">
        <v>255</v>
      </c>
      <c r="C37" s="296">
        <v>7552735860</v>
      </c>
      <c r="D37" s="296" t="s">
        <v>244</v>
      </c>
      <c r="E37" s="296" t="s">
        <v>262</v>
      </c>
      <c r="F37" s="296">
        <v>1</v>
      </c>
      <c r="G37" s="296" t="s">
        <v>238</v>
      </c>
      <c r="H37" s="298" t="s">
        <v>7</v>
      </c>
      <c r="I37" s="298" t="str">
        <f>IF(COUNTIF(ピッキングマスタ作成台帳!C:C,C37)&gt;0,"有","")</f>
        <v>有</v>
      </c>
      <c r="J37" s="296"/>
      <c r="K37" s="296"/>
      <c r="L37" s="296"/>
      <c r="M37" s="300">
        <v>2</v>
      </c>
      <c r="N37" s="300">
        <v>8</v>
      </c>
      <c r="O37" s="300">
        <v>13</v>
      </c>
      <c r="P37" s="300">
        <v>11</v>
      </c>
      <c r="Q37" s="300">
        <v>15</v>
      </c>
      <c r="R37" s="296"/>
      <c r="S37" s="300">
        <v>28</v>
      </c>
      <c r="T37" s="300">
        <v>25</v>
      </c>
      <c r="U37" s="300">
        <v>24</v>
      </c>
      <c r="V37" s="300">
        <v>16</v>
      </c>
      <c r="W37" s="296">
        <v>142</v>
      </c>
      <c r="X37" s="296" t="s">
        <v>239</v>
      </c>
      <c r="Y37" s="296" t="s">
        <v>240</v>
      </c>
      <c r="Z37" s="21" t="s">
        <v>578</v>
      </c>
      <c r="AA37" s="50">
        <v>45632</v>
      </c>
      <c r="AB37" s="21" t="s">
        <v>579</v>
      </c>
      <c r="AC37" s="21" t="s">
        <v>580</v>
      </c>
      <c r="AD37" s="34" t="s">
        <v>581</v>
      </c>
      <c r="AE37" s="21">
        <v>0</v>
      </c>
      <c r="AF37" s="21" t="s">
        <v>236</v>
      </c>
      <c r="AG37" s="35">
        <v>0</v>
      </c>
      <c r="AH37" s="36" t="s">
        <v>582</v>
      </c>
      <c r="AI37" s="21" t="s">
        <v>582</v>
      </c>
      <c r="AJ37" s="37" t="s">
        <v>582</v>
      </c>
      <c r="AK37" s="7"/>
      <c r="AL37" s="8"/>
      <c r="AR37" s="11" t="e">
        <v>#N/A</v>
      </c>
    </row>
    <row r="38" spans="1:44" s="9" customFormat="1">
      <c r="A38" s="296">
        <v>603</v>
      </c>
      <c r="B38" s="297" t="s">
        <v>255</v>
      </c>
      <c r="C38" s="296">
        <v>8978795024</v>
      </c>
      <c r="D38" s="296" t="s">
        <v>256</v>
      </c>
      <c r="E38" s="296" t="s">
        <v>445</v>
      </c>
      <c r="F38" s="296">
        <v>1</v>
      </c>
      <c r="G38" s="296" t="s">
        <v>238</v>
      </c>
      <c r="H38" s="298" t="s">
        <v>7</v>
      </c>
      <c r="I38" s="298" t="str">
        <f>IF(COUNTIF(ピッキングマスタ作成台帳!C:C,C38)&gt;0,"有","")</f>
        <v>有</v>
      </c>
      <c r="J38" s="296"/>
      <c r="K38" s="296"/>
      <c r="L38" s="296"/>
      <c r="M38" s="300">
        <v>1</v>
      </c>
      <c r="N38" s="296"/>
      <c r="O38" s="296"/>
      <c r="P38" s="296"/>
      <c r="Q38" s="296"/>
      <c r="R38" s="296"/>
      <c r="S38" s="296"/>
      <c r="T38" s="296"/>
      <c r="U38" s="296"/>
      <c r="V38" s="296"/>
      <c r="W38" s="296">
        <v>1</v>
      </c>
      <c r="X38" s="296" t="s">
        <v>239</v>
      </c>
      <c r="Y38" s="296" t="s">
        <v>240</v>
      </c>
      <c r="Z38" s="21" t="s">
        <v>607</v>
      </c>
      <c r="AA38" s="50">
        <v>45677</v>
      </c>
      <c r="AB38" s="21" t="s">
        <v>608</v>
      </c>
      <c r="AC38" s="21" t="s">
        <v>609</v>
      </c>
      <c r="AD38" s="34" t="s">
        <v>610</v>
      </c>
      <c r="AE38" s="21">
        <v>0</v>
      </c>
      <c r="AF38" s="21" t="s">
        <v>255</v>
      </c>
      <c r="AG38" s="35">
        <v>0</v>
      </c>
      <c r="AH38" s="36" t="s">
        <v>582</v>
      </c>
      <c r="AI38" s="21" t="s">
        <v>582</v>
      </c>
      <c r="AJ38" s="37" t="s">
        <v>582</v>
      </c>
      <c r="AK38" s="7"/>
      <c r="AL38" s="8"/>
      <c r="AR38" s="11" t="e">
        <v>#N/A</v>
      </c>
    </row>
    <row r="39" spans="1:44" s="9" customFormat="1">
      <c r="A39" s="296">
        <v>392</v>
      </c>
      <c r="B39" s="297" t="s">
        <v>255</v>
      </c>
      <c r="C39" s="296">
        <v>7552312870</v>
      </c>
      <c r="D39" s="296" t="s">
        <v>269</v>
      </c>
      <c r="E39" s="336" t="s">
        <v>354</v>
      </c>
      <c r="F39" s="296">
        <v>1</v>
      </c>
      <c r="G39" s="296" t="s">
        <v>355</v>
      </c>
      <c r="H39" s="298" t="s">
        <v>7</v>
      </c>
      <c r="I39" s="298" t="str">
        <f>IF(COUNTIF(ピッキングマスタ作成台帳!C:C,C39)&gt;0,"有","")</f>
        <v>有</v>
      </c>
      <c r="J39" s="296"/>
      <c r="K39" s="296"/>
      <c r="L39" s="296"/>
      <c r="M39" s="296"/>
      <c r="N39" s="296"/>
      <c r="O39" s="296"/>
      <c r="P39" s="300">
        <v>1</v>
      </c>
      <c r="Q39" s="296"/>
      <c r="R39" s="296"/>
      <c r="S39" s="296"/>
      <c r="T39" s="296"/>
      <c r="U39" s="296"/>
      <c r="V39" s="296"/>
      <c r="W39" s="296">
        <v>1</v>
      </c>
      <c r="X39" s="296" t="s">
        <v>239</v>
      </c>
      <c r="Y39" s="296" t="s">
        <v>270</v>
      </c>
      <c r="Z39" s="21" t="s">
        <v>619</v>
      </c>
      <c r="AA39" s="50">
        <v>0</v>
      </c>
      <c r="AB39" s="21" t="s">
        <v>513</v>
      </c>
      <c r="AC39" s="21" t="s">
        <v>620</v>
      </c>
      <c r="AD39" s="34">
        <v>0</v>
      </c>
      <c r="AE39" s="21" t="s">
        <v>621</v>
      </c>
      <c r="AF39" s="21" t="s">
        <v>255</v>
      </c>
      <c r="AG39" s="35" t="s">
        <v>622</v>
      </c>
      <c r="AH39" s="36" t="s">
        <v>582</v>
      </c>
      <c r="AI39" s="21" t="s">
        <v>582</v>
      </c>
      <c r="AJ39" s="37" t="s">
        <v>582</v>
      </c>
      <c r="AK39" s="7"/>
      <c r="AL39" s="8"/>
      <c r="AR39" s="11"/>
    </row>
    <row r="40" spans="1:44" s="9" customFormat="1">
      <c r="A40" s="296">
        <v>168</v>
      </c>
      <c r="B40" s="297" t="s">
        <v>255</v>
      </c>
      <c r="C40" s="296">
        <v>7551885322</v>
      </c>
      <c r="D40" s="296" t="s">
        <v>257</v>
      </c>
      <c r="E40" s="296" t="s">
        <v>268</v>
      </c>
      <c r="F40" s="296">
        <v>1</v>
      </c>
      <c r="G40" s="296" t="s">
        <v>238</v>
      </c>
      <c r="H40" s="298" t="s">
        <v>7</v>
      </c>
      <c r="I40" s="298" t="str">
        <f>IF(COUNTIF(ピッキングマスタ作成台帳!C:C,C40)&gt;0,"有","")</f>
        <v>有</v>
      </c>
      <c r="J40" s="296"/>
      <c r="K40" s="296"/>
      <c r="L40" s="296"/>
      <c r="M40" s="296"/>
      <c r="N40" s="296"/>
      <c r="O40" s="296"/>
      <c r="P40" s="296"/>
      <c r="Q40" s="300">
        <v>1</v>
      </c>
      <c r="R40" s="296"/>
      <c r="S40" s="296"/>
      <c r="T40" s="296"/>
      <c r="U40" s="296"/>
      <c r="V40" s="296"/>
      <c r="W40" s="296">
        <v>1</v>
      </c>
      <c r="X40" s="296" t="s">
        <v>239</v>
      </c>
      <c r="Y40" s="296" t="s">
        <v>246</v>
      </c>
      <c r="Z40" s="21" t="s">
        <v>601</v>
      </c>
      <c r="AA40" s="50">
        <v>45202</v>
      </c>
      <c r="AB40" s="21" t="s">
        <v>602</v>
      </c>
      <c r="AC40" s="21" t="s">
        <v>603</v>
      </c>
      <c r="AD40" s="34" t="s">
        <v>604</v>
      </c>
      <c r="AE40" s="21" t="s">
        <v>605</v>
      </c>
      <c r="AF40" s="21" t="s">
        <v>255</v>
      </c>
      <c r="AG40" s="35" t="s">
        <v>623</v>
      </c>
      <c r="AH40" s="36" t="s">
        <v>582</v>
      </c>
      <c r="AI40" s="21" t="s">
        <v>582</v>
      </c>
      <c r="AJ40" s="37" t="s">
        <v>582</v>
      </c>
      <c r="AK40" s="7"/>
      <c r="AL40" s="8"/>
      <c r="AR40" s="11" t="e">
        <v>#N/A</v>
      </c>
    </row>
    <row r="41" spans="1:44" s="9" customFormat="1">
      <c r="A41" s="296">
        <v>352</v>
      </c>
      <c r="B41" s="297" t="s">
        <v>255</v>
      </c>
      <c r="C41" s="296">
        <v>7552222921</v>
      </c>
      <c r="D41" s="296" t="s">
        <v>245</v>
      </c>
      <c r="E41" s="296" t="s">
        <v>265</v>
      </c>
      <c r="F41" s="296">
        <v>1</v>
      </c>
      <c r="G41" s="296" t="s">
        <v>238</v>
      </c>
      <c r="H41" s="298" t="s">
        <v>7</v>
      </c>
      <c r="I41" s="298" t="str">
        <f>IF(COUNTIF(ピッキングマスタ作成台帳!C:C,C41)&gt;0,"有","")</f>
        <v>有</v>
      </c>
      <c r="J41" s="296"/>
      <c r="K41" s="296"/>
      <c r="L41" s="296"/>
      <c r="M41" s="296"/>
      <c r="N41" s="296"/>
      <c r="O41" s="296"/>
      <c r="P41" s="296"/>
      <c r="Q41" s="300">
        <v>1</v>
      </c>
      <c r="R41" s="296"/>
      <c r="S41" s="300">
        <v>1</v>
      </c>
      <c r="T41" s="300">
        <v>1</v>
      </c>
      <c r="U41" s="300">
        <v>1</v>
      </c>
      <c r="V41" s="296"/>
      <c r="W41" s="296">
        <v>4</v>
      </c>
      <c r="X41" s="296" t="s">
        <v>239</v>
      </c>
      <c r="Y41" s="296" t="s">
        <v>246</v>
      </c>
      <c r="Z41" s="21" t="s">
        <v>624</v>
      </c>
      <c r="AA41" s="50">
        <v>45450</v>
      </c>
      <c r="AB41" s="21" t="s">
        <v>612</v>
      </c>
      <c r="AC41" s="21" t="s">
        <v>625</v>
      </c>
      <c r="AD41" s="34" t="s">
        <v>265</v>
      </c>
      <c r="AE41" s="21">
        <v>0</v>
      </c>
      <c r="AF41" s="21" t="s">
        <v>255</v>
      </c>
      <c r="AG41" s="35">
        <v>0</v>
      </c>
      <c r="AH41" s="36" t="s">
        <v>582</v>
      </c>
      <c r="AI41" s="21" t="s">
        <v>582</v>
      </c>
      <c r="AJ41" s="37" t="s">
        <v>582</v>
      </c>
      <c r="AK41" s="7"/>
      <c r="AL41" s="8"/>
      <c r="AR41" s="11"/>
    </row>
    <row r="42" spans="1:44" s="9" customFormat="1">
      <c r="A42" s="296">
        <v>21</v>
      </c>
      <c r="B42" s="297" t="s">
        <v>285</v>
      </c>
      <c r="C42" s="296">
        <v>7552282582</v>
      </c>
      <c r="D42" s="296" t="s">
        <v>297</v>
      </c>
      <c r="E42" s="336" t="s">
        <v>288</v>
      </c>
      <c r="F42" s="296">
        <v>1</v>
      </c>
      <c r="G42" s="296" t="s">
        <v>238</v>
      </c>
      <c r="H42" s="298" t="s">
        <v>7</v>
      </c>
      <c r="I42" s="298" t="str">
        <f>IF(COUNTIF(ピッキングマスタ作成台帳!C:C,C42)&gt;0,"有","")</f>
        <v/>
      </c>
      <c r="J42" s="296"/>
      <c r="K42" s="296"/>
      <c r="L42" s="296"/>
      <c r="M42" s="296"/>
      <c r="N42" s="296"/>
      <c r="O42" s="296"/>
      <c r="P42" s="296"/>
      <c r="Q42" s="296"/>
      <c r="R42" s="296"/>
      <c r="S42" s="300">
        <v>2</v>
      </c>
      <c r="T42" s="300">
        <v>1</v>
      </c>
      <c r="U42" s="296"/>
      <c r="V42" s="296"/>
      <c r="W42" s="296">
        <v>3</v>
      </c>
      <c r="X42" s="296" t="s">
        <v>239</v>
      </c>
      <c r="Y42" s="296" t="s">
        <v>246</v>
      </c>
      <c r="Z42" s="21" t="s">
        <v>61</v>
      </c>
      <c r="AA42" s="50">
        <v>45527</v>
      </c>
      <c r="AB42" s="21" t="s">
        <v>597</v>
      </c>
      <c r="AC42" s="21" t="s">
        <v>598</v>
      </c>
      <c r="AD42" s="34" t="s">
        <v>81</v>
      </c>
      <c r="AE42" s="21">
        <v>0</v>
      </c>
      <c r="AF42" s="21">
        <v>0</v>
      </c>
      <c r="AG42" s="35">
        <v>0</v>
      </c>
      <c r="AH42" s="36" t="s">
        <v>582</v>
      </c>
      <c r="AI42" s="21" t="s">
        <v>582</v>
      </c>
      <c r="AJ42" s="37" t="s">
        <v>582</v>
      </c>
      <c r="AK42" s="7"/>
      <c r="AL42" s="8"/>
      <c r="AR42" s="11" t="e">
        <v>#N/A</v>
      </c>
    </row>
    <row r="43" spans="1:44" s="9" customFormat="1">
      <c r="A43" s="296">
        <v>685</v>
      </c>
      <c r="B43" s="297" t="s">
        <v>285</v>
      </c>
      <c r="C43" s="296">
        <v>7552132072</v>
      </c>
      <c r="D43" s="296" t="s">
        <v>257</v>
      </c>
      <c r="E43" s="336" t="s">
        <v>290</v>
      </c>
      <c r="F43" s="296">
        <v>1</v>
      </c>
      <c r="G43" s="296" t="s">
        <v>238</v>
      </c>
      <c r="H43" s="298" t="s">
        <v>7</v>
      </c>
      <c r="I43" s="298" t="str">
        <f>IF(COUNTIF(ピッキングマスタ作成台帳!C:C,C43)&gt;0,"有","")</f>
        <v>有</v>
      </c>
      <c r="J43" s="296"/>
      <c r="K43" s="300">
        <v>1</v>
      </c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>
        <v>1</v>
      </c>
      <c r="X43" s="296" t="s">
        <v>239</v>
      </c>
      <c r="Y43" s="296" t="s">
        <v>246</v>
      </c>
      <c r="Z43" s="21" t="s">
        <v>61</v>
      </c>
      <c r="AA43" s="50">
        <v>45527</v>
      </c>
      <c r="AB43" s="21" t="s">
        <v>602</v>
      </c>
      <c r="AC43" s="21" t="s">
        <v>598</v>
      </c>
      <c r="AD43" s="34" t="s">
        <v>81</v>
      </c>
      <c r="AE43" s="21">
        <v>0</v>
      </c>
      <c r="AF43" s="21" t="s">
        <v>285</v>
      </c>
      <c r="AG43" s="35">
        <v>0</v>
      </c>
      <c r="AH43" s="36" t="s">
        <v>582</v>
      </c>
      <c r="AI43" s="21" t="s">
        <v>582</v>
      </c>
      <c r="AJ43" s="37" t="s">
        <v>582</v>
      </c>
      <c r="AK43" s="7"/>
      <c r="AL43" s="8"/>
      <c r="AR43" s="11">
        <v>7552132072</v>
      </c>
    </row>
    <row r="47" spans="1:44">
      <c r="C47" s="14"/>
      <c r="D47" s="14"/>
      <c r="E47" s="75"/>
    </row>
    <row r="48" spans="1:44">
      <c r="C48" s="14"/>
      <c r="D48" s="14"/>
      <c r="E48" s="75"/>
    </row>
    <row r="49" spans="3:5">
      <c r="C49" s="14"/>
      <c r="D49" s="14"/>
      <c r="E49" s="75"/>
    </row>
    <row r="50" spans="3:5">
      <c r="C50" s="14"/>
      <c r="D50" s="14"/>
      <c r="E50" s="75"/>
    </row>
    <row r="51" spans="3:5">
      <c r="C51" s="22"/>
      <c r="D51" s="14"/>
      <c r="E51" s="75"/>
    </row>
    <row r="52" spans="3:5">
      <c r="C52" s="15"/>
      <c r="D52" s="14"/>
      <c r="E52" s="75"/>
    </row>
    <row r="53" spans="3:5">
      <c r="C53" s="15"/>
      <c r="D53" s="14"/>
      <c r="E53" s="75"/>
    </row>
    <row r="54" spans="3:5">
      <c r="C54" s="15"/>
      <c r="D54" s="14"/>
      <c r="E54" s="75"/>
    </row>
    <row r="55" spans="3:5">
      <c r="C55" s="15"/>
      <c r="D55" s="14"/>
      <c r="E55" s="75"/>
    </row>
    <row r="56" spans="3:5">
      <c r="C56" s="15"/>
      <c r="D56" s="14"/>
      <c r="E56" s="75"/>
    </row>
    <row r="57" spans="3:5">
      <c r="C57" s="22"/>
      <c r="D57" s="14"/>
      <c r="E57" s="75"/>
    </row>
    <row r="58" spans="3:5">
      <c r="C58" s="22"/>
      <c r="D58" s="14"/>
      <c r="E58" s="75"/>
    </row>
    <row r="59" spans="3:5">
      <c r="C59" s="22"/>
      <c r="D59" s="14"/>
      <c r="E59" s="74"/>
    </row>
    <row r="60" spans="3:5">
      <c r="C60" s="23"/>
      <c r="D60" s="14"/>
      <c r="E60" s="74"/>
    </row>
    <row r="61" spans="3:5">
      <c r="C61" s="23"/>
      <c r="D61" s="14"/>
      <c r="E61" s="74"/>
    </row>
    <row r="62" spans="3:5">
      <c r="C62" s="23"/>
      <c r="D62" s="14"/>
      <c r="E62" s="74"/>
    </row>
    <row r="63" spans="3:5">
      <c r="C63" s="23"/>
      <c r="D63" s="14"/>
      <c r="E63" s="74"/>
    </row>
    <row r="64" spans="3:5">
      <c r="C64" s="23"/>
      <c r="D64" s="14"/>
      <c r="E64" s="74"/>
    </row>
    <row r="65" spans="3:5">
      <c r="C65" s="23"/>
      <c r="D65" s="14"/>
      <c r="E65" s="74"/>
    </row>
    <row r="66" spans="3:5">
      <c r="C66" s="23"/>
      <c r="D66" s="14"/>
      <c r="E66" s="74"/>
    </row>
    <row r="67" spans="3:5">
      <c r="C67" s="23"/>
      <c r="D67" s="14"/>
      <c r="E67" s="74"/>
    </row>
    <row r="68" spans="3:5">
      <c r="C68" s="23"/>
      <c r="D68" s="14"/>
      <c r="E68" s="74"/>
    </row>
    <row r="69" spans="3:5">
      <c r="C69" s="23"/>
      <c r="D69" s="14"/>
      <c r="E69" s="74"/>
    </row>
    <row r="70" spans="3:5">
      <c r="C70" s="23"/>
      <c r="D70" s="14"/>
      <c r="E70" s="74"/>
    </row>
    <row r="71" spans="3:5">
      <c r="C71" s="23"/>
      <c r="D71" s="14"/>
      <c r="E71" s="74"/>
    </row>
    <row r="72" spans="3:5">
      <c r="C72" s="23"/>
      <c r="D72" s="14"/>
      <c r="E72" s="74"/>
    </row>
    <row r="73" spans="3:5">
      <c r="C73" s="23"/>
      <c r="D73" s="14"/>
      <c r="E73" s="74"/>
    </row>
    <row r="74" spans="3:5">
      <c r="C74" s="23"/>
      <c r="D74" s="14"/>
      <c r="E74" s="74"/>
    </row>
    <row r="75" spans="3:5">
      <c r="E75" s="74"/>
    </row>
    <row r="76" spans="3:5">
      <c r="E76" s="74"/>
    </row>
    <row r="77" spans="3:5">
      <c r="E77" s="74"/>
    </row>
    <row r="78" spans="3:5">
      <c r="E78" s="74"/>
    </row>
    <row r="79" spans="3:5">
      <c r="E79" s="74"/>
    </row>
  </sheetData>
  <mergeCells count="2">
    <mergeCell ref="AH3:AH4"/>
    <mergeCell ref="AI3:AJ3"/>
  </mergeCells>
  <phoneticPr fontId="59"/>
  <pageMargins left="0.19685039370078741" right="0.19685039370078741" top="0.43307086614173229" bottom="0.39370078740157483" header="0.19685039370078741" footer="0.19685039370078741"/>
  <pageSetup paperSize="9" scale="10" orientation="landscape" r:id="rId1"/>
  <headerFooter>
    <oddFooter>&amp;R&amp;Z&amp;F&amp;F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B807-86B9-47A9-84EC-0F8CEF24950F}">
  <dimension ref="A1:L687"/>
  <sheetViews>
    <sheetView zoomScale="90" zoomScaleNormal="90" workbookViewId="0">
      <pane ySplit="1" topLeftCell="A661" activePane="bottomLeft" state="frozen"/>
      <selection pane="bottomLeft" activeCell="C669" sqref="C669"/>
    </sheetView>
  </sheetViews>
  <sheetFormatPr defaultColWidth="10" defaultRowHeight="17.399999999999999"/>
  <cols>
    <col min="1" max="1" width="8" style="399" customWidth="1"/>
    <col min="2" max="2" width="17.6640625" style="400" customWidth="1"/>
    <col min="3" max="3" width="17.109375" style="400" customWidth="1"/>
    <col min="4" max="4" width="14.6640625" style="357" bestFit="1" customWidth="1"/>
    <col min="5" max="5" width="16.21875" style="401" customWidth="1"/>
    <col min="6" max="7" width="12.77734375" style="399" customWidth="1"/>
    <col min="8" max="8" width="5.5546875" style="399" hidden="1" customWidth="1"/>
    <col min="9" max="9" width="19.5546875" style="401" customWidth="1"/>
    <col min="10" max="10" width="21.6640625" style="401" bestFit="1" customWidth="1"/>
    <col min="11" max="11" width="20.21875" style="400" customWidth="1"/>
    <col min="12" max="12" width="14.6640625" style="357" bestFit="1" customWidth="1"/>
    <col min="13" max="16384" width="10" style="357"/>
  </cols>
  <sheetData>
    <row r="1" spans="1:11">
      <c r="A1" s="353" t="s">
        <v>452</v>
      </c>
      <c r="B1" s="354" t="s">
        <v>453</v>
      </c>
      <c r="C1" s="353" t="s">
        <v>454</v>
      </c>
      <c r="D1" s="355" t="s">
        <v>455</v>
      </c>
      <c r="E1" s="356" t="s">
        <v>456</v>
      </c>
      <c r="F1" s="353" t="s">
        <v>457</v>
      </c>
      <c r="G1" s="353" t="s">
        <v>458</v>
      </c>
      <c r="H1" s="353" t="s">
        <v>459</v>
      </c>
      <c r="I1" s="356" t="s">
        <v>460</v>
      </c>
      <c r="J1" s="356" t="s">
        <v>461</v>
      </c>
      <c r="K1" s="353" t="s">
        <v>462</v>
      </c>
    </row>
    <row r="2" spans="1:11">
      <c r="A2" s="353">
        <v>1</v>
      </c>
      <c r="B2" s="354" t="s">
        <v>463</v>
      </c>
      <c r="C2" s="354">
        <v>7551885291</v>
      </c>
      <c r="D2" s="355">
        <v>7551885182</v>
      </c>
      <c r="E2" s="356">
        <v>45141</v>
      </c>
      <c r="F2" s="353"/>
      <c r="G2" s="353"/>
      <c r="H2" s="353"/>
      <c r="I2" s="356">
        <v>45141</v>
      </c>
      <c r="J2" s="356" t="s">
        <v>464</v>
      </c>
      <c r="K2" s="354"/>
    </row>
    <row r="3" spans="1:11">
      <c r="A3" s="353">
        <v>2</v>
      </c>
      <c r="B3" s="354" t="s">
        <v>465</v>
      </c>
      <c r="C3" s="354">
        <v>8978794953</v>
      </c>
      <c r="D3" s="355">
        <v>7551885771</v>
      </c>
      <c r="E3" s="356">
        <v>45222</v>
      </c>
      <c r="F3" s="353"/>
      <c r="G3" s="353"/>
      <c r="H3" s="353"/>
      <c r="I3" s="356">
        <v>45217</v>
      </c>
      <c r="J3" s="356">
        <v>45217</v>
      </c>
      <c r="K3" s="354"/>
    </row>
    <row r="4" spans="1:11">
      <c r="A4" s="353">
        <v>3</v>
      </c>
      <c r="B4" s="354" t="s">
        <v>465</v>
      </c>
      <c r="C4" s="354">
        <v>7551885261</v>
      </c>
      <c r="D4" s="355">
        <v>7551885251</v>
      </c>
      <c r="E4" s="356">
        <v>45223</v>
      </c>
      <c r="F4" s="353"/>
      <c r="G4" s="353"/>
      <c r="H4" s="353"/>
      <c r="I4" s="356">
        <v>45217</v>
      </c>
      <c r="J4" s="356">
        <v>45217</v>
      </c>
      <c r="K4" s="354"/>
    </row>
    <row r="5" spans="1:11">
      <c r="A5" s="358">
        <v>4</v>
      </c>
      <c r="B5" s="359" t="s">
        <v>466</v>
      </c>
      <c r="C5" s="354">
        <v>7552132070</v>
      </c>
      <c r="D5" s="355"/>
      <c r="E5" s="356">
        <v>45224</v>
      </c>
      <c r="F5" s="353"/>
      <c r="G5" s="353"/>
      <c r="H5" s="353"/>
      <c r="I5" s="356">
        <v>45219</v>
      </c>
      <c r="J5" s="356">
        <v>45219</v>
      </c>
      <c r="K5" s="354"/>
    </row>
    <row r="6" spans="1:11">
      <c r="A6" s="358">
        <v>5</v>
      </c>
      <c r="B6" s="359" t="s">
        <v>466</v>
      </c>
      <c r="C6" s="354">
        <v>7552166200</v>
      </c>
      <c r="D6" s="355"/>
      <c r="E6" s="356">
        <v>45226</v>
      </c>
      <c r="F6" s="353"/>
      <c r="G6" s="353"/>
      <c r="H6" s="353"/>
      <c r="I6" s="356">
        <v>45219</v>
      </c>
      <c r="J6" s="356">
        <v>45219</v>
      </c>
      <c r="K6" s="354"/>
    </row>
    <row r="7" spans="1:11">
      <c r="A7" s="353">
        <v>6</v>
      </c>
      <c r="B7" s="354" t="s">
        <v>465</v>
      </c>
      <c r="C7" s="354">
        <v>7551885901</v>
      </c>
      <c r="D7" s="355">
        <v>8978794953</v>
      </c>
      <c r="E7" s="356">
        <v>45229</v>
      </c>
      <c r="F7" s="353"/>
      <c r="G7" s="353"/>
      <c r="H7" s="353"/>
      <c r="I7" s="356">
        <v>45217</v>
      </c>
      <c r="J7" s="356">
        <v>45217</v>
      </c>
      <c r="K7" s="354"/>
    </row>
    <row r="8" spans="1:11">
      <c r="A8" s="353">
        <v>7</v>
      </c>
      <c r="B8" s="354" t="s">
        <v>465</v>
      </c>
      <c r="C8" s="354">
        <v>7551946351</v>
      </c>
      <c r="D8" s="355">
        <v>7551945900</v>
      </c>
      <c r="E8" s="356">
        <v>45229</v>
      </c>
      <c r="F8" s="353"/>
      <c r="G8" s="353"/>
      <c r="H8" s="353"/>
      <c r="I8" s="356">
        <v>45218</v>
      </c>
      <c r="J8" s="356">
        <v>45218</v>
      </c>
      <c r="K8" s="354"/>
    </row>
    <row r="9" spans="1:11">
      <c r="A9" s="353">
        <v>8</v>
      </c>
      <c r="B9" s="354" t="s">
        <v>465</v>
      </c>
      <c r="C9" s="354">
        <v>7552078500</v>
      </c>
      <c r="D9" s="355">
        <v>8972782950</v>
      </c>
      <c r="E9" s="356">
        <v>45229</v>
      </c>
      <c r="F9" s="353"/>
      <c r="G9" s="353"/>
      <c r="H9" s="353"/>
      <c r="I9" s="356">
        <v>45218</v>
      </c>
      <c r="J9" s="356">
        <v>45218</v>
      </c>
      <c r="K9" s="354"/>
    </row>
    <row r="10" spans="1:11">
      <c r="A10" s="353">
        <v>9</v>
      </c>
      <c r="B10" s="354" t="s">
        <v>465</v>
      </c>
      <c r="C10" s="354">
        <v>7552078580</v>
      </c>
      <c r="D10" s="355">
        <v>8984896672</v>
      </c>
      <c r="E10" s="356">
        <v>45229</v>
      </c>
      <c r="F10" s="353"/>
      <c r="G10" s="353"/>
      <c r="H10" s="353"/>
      <c r="I10" s="356">
        <v>45218</v>
      </c>
      <c r="J10" s="356">
        <v>45218</v>
      </c>
      <c r="K10" s="354"/>
    </row>
    <row r="11" spans="1:11">
      <c r="A11" s="353">
        <v>10</v>
      </c>
      <c r="B11" s="354" t="s">
        <v>465</v>
      </c>
      <c r="C11" s="354">
        <v>7551946261</v>
      </c>
      <c r="D11" s="355">
        <v>7551946370</v>
      </c>
      <c r="E11" s="356">
        <v>45229</v>
      </c>
      <c r="F11" s="353"/>
      <c r="G11" s="353"/>
      <c r="H11" s="353"/>
      <c r="I11" s="356">
        <v>45219</v>
      </c>
      <c r="J11" s="356">
        <v>45219</v>
      </c>
      <c r="K11" s="354"/>
    </row>
    <row r="12" spans="1:11">
      <c r="A12" s="358">
        <v>11</v>
      </c>
      <c r="B12" s="359" t="s">
        <v>466</v>
      </c>
      <c r="C12" s="354">
        <v>7552138860</v>
      </c>
      <c r="D12" s="355"/>
      <c r="E12" s="356">
        <v>45229</v>
      </c>
      <c r="F12" s="353"/>
      <c r="G12" s="353"/>
      <c r="H12" s="353"/>
      <c r="I12" s="356">
        <v>45219</v>
      </c>
      <c r="J12" s="356">
        <v>45219</v>
      </c>
      <c r="K12" s="354"/>
    </row>
    <row r="13" spans="1:11">
      <c r="A13" s="353">
        <v>12</v>
      </c>
      <c r="B13" s="354" t="s">
        <v>465</v>
      </c>
      <c r="C13" s="354">
        <v>8977943333</v>
      </c>
      <c r="D13" s="355">
        <v>7551909210</v>
      </c>
      <c r="E13" s="356">
        <v>45229</v>
      </c>
      <c r="F13" s="353"/>
      <c r="G13" s="353"/>
      <c r="H13" s="353"/>
      <c r="I13" s="356">
        <v>45219</v>
      </c>
      <c r="J13" s="356">
        <v>45219</v>
      </c>
      <c r="K13" s="354"/>
    </row>
    <row r="14" spans="1:11">
      <c r="A14" s="353">
        <v>13</v>
      </c>
      <c r="B14" s="354" t="s">
        <v>465</v>
      </c>
      <c r="C14" s="354">
        <v>8978363712</v>
      </c>
      <c r="D14" s="355">
        <v>8978767222</v>
      </c>
      <c r="E14" s="356">
        <v>45229</v>
      </c>
      <c r="F14" s="353"/>
      <c r="G14" s="353"/>
      <c r="H14" s="353"/>
      <c r="I14" s="356">
        <v>45223</v>
      </c>
      <c r="J14" s="356">
        <v>45223</v>
      </c>
      <c r="K14" s="354"/>
    </row>
    <row r="15" spans="1:11">
      <c r="A15" s="353">
        <v>14</v>
      </c>
      <c r="B15" s="354" t="s">
        <v>465</v>
      </c>
      <c r="C15" s="354">
        <v>8978794853</v>
      </c>
      <c r="D15" s="355">
        <v>8978794852</v>
      </c>
      <c r="E15" s="356">
        <v>45229</v>
      </c>
      <c r="F15" s="353"/>
      <c r="G15" s="353"/>
      <c r="H15" s="353"/>
      <c r="I15" s="356">
        <v>45224</v>
      </c>
      <c r="J15" s="356">
        <v>45224</v>
      </c>
      <c r="K15" s="354"/>
    </row>
    <row r="16" spans="1:11">
      <c r="A16" s="353">
        <v>15</v>
      </c>
      <c r="B16" s="354" t="s">
        <v>465</v>
      </c>
      <c r="C16" s="354">
        <v>7551885761</v>
      </c>
      <c r="D16" s="355">
        <v>8978794422</v>
      </c>
      <c r="E16" s="356">
        <v>45236</v>
      </c>
      <c r="F16" s="353"/>
      <c r="G16" s="353"/>
      <c r="H16" s="353"/>
      <c r="I16" s="356">
        <v>45224</v>
      </c>
      <c r="J16" s="356">
        <v>45224</v>
      </c>
      <c r="K16" s="354"/>
    </row>
    <row r="17" spans="1:11">
      <c r="A17" s="353">
        <v>16</v>
      </c>
      <c r="B17" s="354" t="s">
        <v>465</v>
      </c>
      <c r="C17" s="354">
        <v>8972681151</v>
      </c>
      <c r="D17" s="355">
        <v>7551885512</v>
      </c>
      <c r="E17" s="356">
        <v>45236</v>
      </c>
      <c r="F17" s="353"/>
      <c r="G17" s="353"/>
      <c r="H17" s="353"/>
      <c r="I17" s="356">
        <v>45224</v>
      </c>
      <c r="J17" s="356">
        <v>45224</v>
      </c>
      <c r="K17" s="354"/>
    </row>
    <row r="18" spans="1:11">
      <c r="A18" s="353">
        <v>17</v>
      </c>
      <c r="B18" s="354" t="s">
        <v>465</v>
      </c>
      <c r="C18" s="354">
        <v>8978767382</v>
      </c>
      <c r="D18" s="355">
        <v>8978767381</v>
      </c>
      <c r="E18" s="356">
        <v>45236</v>
      </c>
      <c r="F18" s="353"/>
      <c r="G18" s="353"/>
      <c r="H18" s="353"/>
      <c r="I18" s="356">
        <v>45225</v>
      </c>
      <c r="J18" s="356">
        <v>45225</v>
      </c>
      <c r="K18" s="354"/>
    </row>
    <row r="19" spans="1:11">
      <c r="A19" s="358">
        <v>18</v>
      </c>
      <c r="B19" s="359" t="s">
        <v>466</v>
      </c>
      <c r="C19" s="354">
        <v>8978836720</v>
      </c>
      <c r="D19" s="355">
        <v>897676278</v>
      </c>
      <c r="E19" s="356">
        <v>45237</v>
      </c>
      <c r="F19" s="353"/>
      <c r="G19" s="353"/>
      <c r="H19" s="353"/>
      <c r="I19" s="356">
        <v>45222</v>
      </c>
      <c r="J19" s="356"/>
      <c r="K19" s="354"/>
    </row>
    <row r="20" spans="1:11">
      <c r="A20" s="353">
        <v>19</v>
      </c>
      <c r="B20" s="354" t="s">
        <v>465</v>
      </c>
      <c r="C20" s="360">
        <v>7551885202</v>
      </c>
      <c r="D20" s="355">
        <v>7551885351</v>
      </c>
      <c r="E20" s="356">
        <v>45243</v>
      </c>
      <c r="F20" s="361"/>
      <c r="G20" s="361"/>
      <c r="H20" s="361"/>
      <c r="I20" s="356">
        <v>45225</v>
      </c>
      <c r="J20" s="356">
        <v>45225</v>
      </c>
      <c r="K20" s="354"/>
    </row>
    <row r="21" spans="1:11">
      <c r="A21" s="353">
        <v>20</v>
      </c>
      <c r="B21" s="354" t="s">
        <v>465</v>
      </c>
      <c r="C21" s="354">
        <v>7552078260</v>
      </c>
      <c r="D21" s="355">
        <v>8983882992</v>
      </c>
      <c r="E21" s="356">
        <v>45243</v>
      </c>
      <c r="F21" s="353"/>
      <c r="G21" s="353"/>
      <c r="H21" s="353"/>
      <c r="I21" s="356">
        <v>45226</v>
      </c>
      <c r="J21" s="356">
        <v>45226</v>
      </c>
      <c r="K21" s="354"/>
    </row>
    <row r="22" spans="1:11">
      <c r="A22" s="353">
        <v>21</v>
      </c>
      <c r="B22" s="354" t="s">
        <v>465</v>
      </c>
      <c r="C22" s="354">
        <v>7552078300</v>
      </c>
      <c r="D22" s="355">
        <v>8975435240</v>
      </c>
      <c r="E22" s="356">
        <v>45243</v>
      </c>
      <c r="F22" s="353"/>
      <c r="G22" s="353"/>
      <c r="H22" s="353"/>
      <c r="I22" s="356">
        <v>45226</v>
      </c>
      <c r="J22" s="356">
        <v>45226</v>
      </c>
      <c r="K22" s="354"/>
    </row>
    <row r="23" spans="1:11">
      <c r="A23" s="353">
        <v>22</v>
      </c>
      <c r="B23" s="354" t="s">
        <v>465</v>
      </c>
      <c r="C23" s="354">
        <v>7552078340</v>
      </c>
      <c r="D23" s="355">
        <v>7552078320</v>
      </c>
      <c r="E23" s="356">
        <v>45243</v>
      </c>
      <c r="F23" s="353"/>
      <c r="G23" s="353"/>
      <c r="H23" s="353"/>
      <c r="I23" s="356">
        <v>45226</v>
      </c>
      <c r="J23" s="356">
        <v>45226</v>
      </c>
      <c r="K23" s="354"/>
    </row>
    <row r="24" spans="1:11">
      <c r="A24" s="353">
        <v>23</v>
      </c>
      <c r="B24" s="354" t="s">
        <v>465</v>
      </c>
      <c r="C24" s="354">
        <v>7552078830</v>
      </c>
      <c r="D24" s="355">
        <v>7552078880</v>
      </c>
      <c r="E24" s="356">
        <v>45243</v>
      </c>
      <c r="F24" s="353"/>
      <c r="G24" s="353"/>
      <c r="H24" s="353"/>
      <c r="I24" s="356">
        <v>45229</v>
      </c>
      <c r="J24" s="356">
        <v>45229</v>
      </c>
      <c r="K24" s="354"/>
    </row>
    <row r="25" spans="1:11">
      <c r="A25" s="353">
        <v>24</v>
      </c>
      <c r="B25" s="354" t="s">
        <v>465</v>
      </c>
      <c r="C25" s="362">
        <v>7552078890</v>
      </c>
      <c r="D25" s="355">
        <v>8972752250</v>
      </c>
      <c r="E25" s="356">
        <v>45243</v>
      </c>
      <c r="F25" s="363"/>
      <c r="G25" s="363"/>
      <c r="H25" s="363"/>
      <c r="I25" s="356">
        <v>45232</v>
      </c>
      <c r="J25" s="356">
        <v>45232</v>
      </c>
      <c r="K25" s="354"/>
    </row>
    <row r="26" spans="1:11">
      <c r="A26" s="358">
        <v>25</v>
      </c>
      <c r="B26" s="359" t="s">
        <v>466</v>
      </c>
      <c r="C26" s="360">
        <v>8972416553</v>
      </c>
      <c r="D26" s="355">
        <v>7552138860</v>
      </c>
      <c r="E26" s="356">
        <v>45243</v>
      </c>
      <c r="F26" s="361"/>
      <c r="G26" s="361"/>
      <c r="H26" s="361"/>
      <c r="I26" s="356">
        <v>45232</v>
      </c>
      <c r="J26" s="356">
        <v>45232</v>
      </c>
      <c r="K26" s="354"/>
    </row>
    <row r="27" spans="1:11">
      <c r="A27" s="358">
        <v>26</v>
      </c>
      <c r="B27" s="359" t="s">
        <v>466</v>
      </c>
      <c r="C27" s="354">
        <v>7551960840</v>
      </c>
      <c r="D27" s="355">
        <v>7551960640</v>
      </c>
      <c r="E27" s="356">
        <v>45243</v>
      </c>
      <c r="F27" s="353"/>
      <c r="G27" s="353"/>
      <c r="H27" s="353"/>
      <c r="I27" s="356">
        <v>45233</v>
      </c>
      <c r="J27" s="356">
        <v>45236</v>
      </c>
      <c r="K27" s="354"/>
    </row>
    <row r="28" spans="1:11">
      <c r="A28" s="358">
        <v>27</v>
      </c>
      <c r="B28" s="359" t="s">
        <v>466</v>
      </c>
      <c r="C28" s="360">
        <v>8972416584</v>
      </c>
      <c r="D28" s="355">
        <v>7552132050</v>
      </c>
      <c r="E28" s="356">
        <v>45243</v>
      </c>
      <c r="F28" s="361"/>
      <c r="G28" s="361"/>
      <c r="H28" s="361"/>
      <c r="I28" s="356">
        <v>45233</v>
      </c>
      <c r="J28" s="356">
        <v>45236</v>
      </c>
      <c r="K28" s="354"/>
    </row>
    <row r="29" spans="1:11">
      <c r="A29" s="353">
        <v>28</v>
      </c>
      <c r="B29" s="354" t="s">
        <v>465</v>
      </c>
      <c r="C29" s="360">
        <v>8977943713</v>
      </c>
      <c r="D29" s="355">
        <v>7551909300</v>
      </c>
      <c r="E29" s="356">
        <v>45243</v>
      </c>
      <c r="F29" s="361"/>
      <c r="G29" s="361"/>
      <c r="H29" s="361"/>
      <c r="I29" s="356">
        <v>45233</v>
      </c>
      <c r="J29" s="356">
        <v>45236</v>
      </c>
      <c r="K29" s="354"/>
    </row>
    <row r="30" spans="1:11">
      <c r="A30" s="353">
        <v>29</v>
      </c>
      <c r="B30" s="354" t="s">
        <v>465</v>
      </c>
      <c r="C30" s="354">
        <v>8978794712</v>
      </c>
      <c r="D30" s="355">
        <v>7551885801</v>
      </c>
      <c r="E30" s="356">
        <v>45243</v>
      </c>
      <c r="F30" s="353"/>
      <c r="G30" s="353"/>
      <c r="H30" s="353"/>
      <c r="I30" s="356">
        <v>45233</v>
      </c>
      <c r="J30" s="356">
        <v>45236</v>
      </c>
      <c r="K30" s="354"/>
    </row>
    <row r="31" spans="1:11">
      <c r="A31" s="353">
        <v>30</v>
      </c>
      <c r="B31" s="354" t="s">
        <v>465</v>
      </c>
      <c r="C31" s="354">
        <v>8978794892</v>
      </c>
      <c r="D31" s="355">
        <v>7551885182</v>
      </c>
      <c r="E31" s="356">
        <v>45243</v>
      </c>
      <c r="F31" s="353"/>
      <c r="G31" s="353"/>
      <c r="H31" s="353"/>
      <c r="I31" s="356">
        <v>45233</v>
      </c>
      <c r="J31" s="356">
        <v>45236</v>
      </c>
      <c r="K31" s="354"/>
    </row>
    <row r="32" spans="1:11">
      <c r="A32" s="353">
        <v>31</v>
      </c>
      <c r="B32" s="354" t="s">
        <v>465</v>
      </c>
      <c r="C32" s="360">
        <v>8977943322</v>
      </c>
      <c r="D32" s="355">
        <v>7551909210</v>
      </c>
      <c r="E32" s="356">
        <v>45250</v>
      </c>
      <c r="F32" s="361"/>
      <c r="G32" s="361"/>
      <c r="H32" s="361"/>
      <c r="I32" s="356">
        <v>45233</v>
      </c>
      <c r="J32" s="356">
        <v>45236</v>
      </c>
      <c r="K32" s="354"/>
    </row>
    <row r="33" spans="1:12">
      <c r="A33" s="353">
        <v>32</v>
      </c>
      <c r="B33" s="354" t="s">
        <v>465</v>
      </c>
      <c r="C33" s="360">
        <v>8977944044</v>
      </c>
      <c r="D33" s="355">
        <v>8976613720</v>
      </c>
      <c r="E33" s="356">
        <v>45250</v>
      </c>
      <c r="F33" s="361"/>
      <c r="G33" s="361"/>
      <c r="H33" s="361"/>
      <c r="I33" s="356">
        <v>45237</v>
      </c>
      <c r="J33" s="356">
        <v>45237</v>
      </c>
      <c r="K33" s="354"/>
    </row>
    <row r="34" spans="1:12">
      <c r="A34" s="353">
        <v>33</v>
      </c>
      <c r="B34" s="354" t="s">
        <v>465</v>
      </c>
      <c r="C34" s="354">
        <v>8978767392</v>
      </c>
      <c r="D34" s="355">
        <v>8978767382</v>
      </c>
      <c r="E34" s="356">
        <v>45250</v>
      </c>
      <c r="F34" s="353"/>
      <c r="G34" s="353"/>
      <c r="H34" s="353"/>
      <c r="I34" s="356">
        <v>45237</v>
      </c>
      <c r="J34" s="356">
        <v>45237</v>
      </c>
      <c r="K34" s="354"/>
    </row>
    <row r="35" spans="1:12">
      <c r="A35" s="353">
        <v>34</v>
      </c>
      <c r="B35" s="354" t="s">
        <v>465</v>
      </c>
      <c r="C35" s="360">
        <v>7551885163</v>
      </c>
      <c r="D35" s="355">
        <v>7551885291</v>
      </c>
      <c r="E35" s="356">
        <v>45250</v>
      </c>
      <c r="F35" s="361"/>
      <c r="G35" s="361"/>
      <c r="H35" s="361"/>
      <c r="I35" s="356">
        <v>45244</v>
      </c>
      <c r="J35" s="356">
        <v>45244</v>
      </c>
      <c r="K35" s="354"/>
    </row>
    <row r="36" spans="1:12">
      <c r="A36" s="353">
        <v>35</v>
      </c>
      <c r="B36" s="354" t="s">
        <v>465</v>
      </c>
      <c r="C36" s="354">
        <v>8978794723</v>
      </c>
      <c r="D36" s="355">
        <v>8978794722</v>
      </c>
      <c r="E36" s="356">
        <v>45252</v>
      </c>
      <c r="F36" s="353"/>
      <c r="G36" s="353"/>
      <c r="H36" s="353"/>
      <c r="I36" s="356">
        <v>45244</v>
      </c>
      <c r="J36" s="356">
        <v>45244</v>
      </c>
      <c r="K36" s="354"/>
    </row>
    <row r="37" spans="1:12">
      <c r="A37" s="353">
        <v>36</v>
      </c>
      <c r="B37" s="354" t="s">
        <v>465</v>
      </c>
      <c r="C37" s="354">
        <v>7551909480</v>
      </c>
      <c r="D37" s="355">
        <v>7551909150</v>
      </c>
      <c r="E37" s="356">
        <v>45264</v>
      </c>
      <c r="F37" s="353"/>
      <c r="G37" s="353"/>
      <c r="H37" s="353"/>
      <c r="I37" s="356">
        <v>45251</v>
      </c>
      <c r="J37" s="364">
        <v>45251</v>
      </c>
      <c r="K37" s="365"/>
    </row>
    <row r="38" spans="1:12">
      <c r="A38" s="353">
        <v>37</v>
      </c>
      <c r="B38" s="354" t="s">
        <v>465</v>
      </c>
      <c r="C38" s="354">
        <v>8978794823</v>
      </c>
      <c r="D38" s="355">
        <v>8977894813</v>
      </c>
      <c r="E38" s="356">
        <v>45264</v>
      </c>
      <c r="F38" s="353"/>
      <c r="G38" s="353"/>
      <c r="H38" s="353"/>
      <c r="I38" s="356">
        <v>45251</v>
      </c>
      <c r="J38" s="356">
        <v>45251</v>
      </c>
      <c r="K38" s="354"/>
    </row>
    <row r="39" spans="1:12">
      <c r="A39" s="353">
        <v>38</v>
      </c>
      <c r="B39" s="354" t="s">
        <v>465</v>
      </c>
      <c r="C39" s="354">
        <v>8978820124</v>
      </c>
      <c r="D39" s="355">
        <v>8978820123</v>
      </c>
      <c r="E39" s="356">
        <v>45264</v>
      </c>
      <c r="F39" s="353"/>
      <c r="G39" s="353"/>
      <c r="H39" s="353"/>
      <c r="I39" s="356">
        <v>45251</v>
      </c>
      <c r="J39" s="356">
        <v>45251</v>
      </c>
      <c r="K39" s="354"/>
    </row>
    <row r="40" spans="1:12">
      <c r="A40" s="353">
        <v>39</v>
      </c>
      <c r="B40" s="354" t="s">
        <v>465</v>
      </c>
      <c r="C40" s="366">
        <v>7551945792</v>
      </c>
      <c r="D40" s="366">
        <v>7551945790</v>
      </c>
      <c r="E40" s="367">
        <v>45271</v>
      </c>
      <c r="F40" s="368"/>
      <c r="G40" s="368"/>
      <c r="H40" s="368"/>
      <c r="I40" s="356">
        <v>45257</v>
      </c>
      <c r="J40" s="356">
        <v>45258</v>
      </c>
      <c r="K40" s="354"/>
    </row>
    <row r="41" spans="1:12">
      <c r="A41" s="353">
        <v>40</v>
      </c>
      <c r="B41" s="354" t="s">
        <v>465</v>
      </c>
      <c r="C41" s="369">
        <v>7551909420</v>
      </c>
      <c r="D41" s="355">
        <v>8978767152</v>
      </c>
      <c r="E41" s="356">
        <v>45271</v>
      </c>
      <c r="F41" s="370"/>
      <c r="G41" s="370"/>
      <c r="H41" s="370"/>
      <c r="I41" s="356">
        <v>45259</v>
      </c>
      <c r="J41" s="356">
        <v>45259</v>
      </c>
      <c r="K41" s="354"/>
    </row>
    <row r="42" spans="1:12">
      <c r="A42" s="353">
        <v>41</v>
      </c>
      <c r="B42" s="354" t="s">
        <v>465</v>
      </c>
      <c r="C42" s="366">
        <v>7552078210</v>
      </c>
      <c r="D42" s="366">
        <v>8984895363</v>
      </c>
      <c r="E42" s="367">
        <v>45271</v>
      </c>
      <c r="F42" s="368"/>
      <c r="G42" s="368"/>
      <c r="H42" s="368"/>
      <c r="I42" s="356">
        <v>45259</v>
      </c>
      <c r="J42" s="356">
        <v>45259</v>
      </c>
      <c r="K42" s="354"/>
    </row>
    <row r="43" spans="1:12">
      <c r="A43" s="353">
        <v>42</v>
      </c>
      <c r="B43" s="354" t="s">
        <v>465</v>
      </c>
      <c r="C43" s="369">
        <v>7552078220</v>
      </c>
      <c r="D43" s="355">
        <v>7552078300</v>
      </c>
      <c r="E43" s="356">
        <v>45271</v>
      </c>
      <c r="F43" s="370"/>
      <c r="G43" s="370"/>
      <c r="H43" s="370"/>
      <c r="I43" s="356">
        <v>45260</v>
      </c>
      <c r="J43" s="356">
        <v>45260</v>
      </c>
      <c r="K43" s="354"/>
    </row>
    <row r="44" spans="1:12">
      <c r="A44" s="353">
        <v>43</v>
      </c>
      <c r="B44" s="354" t="s">
        <v>465</v>
      </c>
      <c r="C44" s="354">
        <v>7552078240</v>
      </c>
      <c r="D44" s="355">
        <v>8976538960</v>
      </c>
      <c r="E44" s="356">
        <v>45271</v>
      </c>
      <c r="F44" s="353"/>
      <c r="G44" s="353"/>
      <c r="H44" s="353"/>
      <c r="I44" s="356">
        <v>45260</v>
      </c>
      <c r="J44" s="356">
        <v>45260</v>
      </c>
      <c r="K44" s="354"/>
    </row>
    <row r="45" spans="1:12">
      <c r="A45" s="353">
        <v>44</v>
      </c>
      <c r="B45" s="354" t="s">
        <v>465</v>
      </c>
      <c r="C45" s="354">
        <v>7552078250</v>
      </c>
      <c r="D45" s="355">
        <v>8983883001</v>
      </c>
      <c r="E45" s="356">
        <v>45271</v>
      </c>
      <c r="F45" s="353"/>
      <c r="G45" s="353"/>
      <c r="H45" s="353"/>
      <c r="I45" s="356">
        <v>45260</v>
      </c>
      <c r="J45" s="356">
        <v>45260</v>
      </c>
      <c r="K45" s="354"/>
      <c r="L45" s="371">
        <f>D45</f>
        <v>8983883001</v>
      </c>
    </row>
    <row r="46" spans="1:12">
      <c r="A46" s="353">
        <v>45</v>
      </c>
      <c r="B46" s="354" t="s">
        <v>465</v>
      </c>
      <c r="C46" s="354">
        <v>7552078270</v>
      </c>
      <c r="D46" s="355">
        <v>8976539000</v>
      </c>
      <c r="E46" s="356">
        <v>45271</v>
      </c>
      <c r="F46" s="353"/>
      <c r="G46" s="353"/>
      <c r="H46" s="353"/>
      <c r="I46" s="356">
        <v>45260</v>
      </c>
      <c r="J46" s="356">
        <v>45260</v>
      </c>
      <c r="K46" s="354"/>
    </row>
    <row r="47" spans="1:12">
      <c r="A47" s="353">
        <v>46</v>
      </c>
      <c r="B47" s="354" t="s">
        <v>465</v>
      </c>
      <c r="C47" s="354">
        <v>7552078310</v>
      </c>
      <c r="D47" s="355">
        <v>7552078270</v>
      </c>
      <c r="E47" s="356">
        <v>45271</v>
      </c>
      <c r="F47" s="353"/>
      <c r="G47" s="353"/>
      <c r="H47" s="353"/>
      <c r="I47" s="356">
        <v>45260</v>
      </c>
      <c r="J47" s="356">
        <v>45260</v>
      </c>
      <c r="K47" s="354"/>
    </row>
    <row r="48" spans="1:12">
      <c r="A48" s="353">
        <v>47</v>
      </c>
      <c r="B48" s="354" t="s">
        <v>465</v>
      </c>
      <c r="C48" s="354">
        <v>7552078350</v>
      </c>
      <c r="D48" s="355">
        <v>8975435250</v>
      </c>
      <c r="E48" s="356">
        <v>45271</v>
      </c>
      <c r="F48" s="353"/>
      <c r="G48" s="353"/>
      <c r="H48" s="353"/>
      <c r="I48" s="356">
        <v>45260</v>
      </c>
      <c r="J48" s="356">
        <v>45260</v>
      </c>
      <c r="K48" s="354"/>
    </row>
    <row r="49" spans="1:11">
      <c r="A49" s="353">
        <v>48</v>
      </c>
      <c r="B49" s="354" t="s">
        <v>465</v>
      </c>
      <c r="C49" s="354">
        <v>7552078390</v>
      </c>
      <c r="D49" s="355">
        <v>8984896132</v>
      </c>
      <c r="E49" s="356">
        <v>45271</v>
      </c>
      <c r="F49" s="353"/>
      <c r="G49" s="353"/>
      <c r="H49" s="353"/>
      <c r="I49" s="356">
        <v>45260</v>
      </c>
      <c r="J49" s="356">
        <v>45260</v>
      </c>
      <c r="K49" s="354"/>
    </row>
    <row r="50" spans="1:11">
      <c r="A50" s="353">
        <v>49</v>
      </c>
      <c r="B50" s="354" t="s">
        <v>465</v>
      </c>
      <c r="C50" s="354">
        <v>7552078400</v>
      </c>
      <c r="D50" s="355">
        <v>8984896112</v>
      </c>
      <c r="E50" s="356">
        <v>45271</v>
      </c>
      <c r="F50" s="353"/>
      <c r="G50" s="353"/>
      <c r="H50" s="353"/>
      <c r="I50" s="356">
        <v>45260</v>
      </c>
      <c r="J50" s="356">
        <v>45260</v>
      </c>
      <c r="K50" s="354"/>
    </row>
    <row r="51" spans="1:11">
      <c r="A51" s="353">
        <v>50</v>
      </c>
      <c r="B51" s="354" t="s">
        <v>465</v>
      </c>
      <c r="C51" s="354">
        <v>7552078530</v>
      </c>
      <c r="D51" s="355">
        <v>8984896661</v>
      </c>
      <c r="E51" s="356">
        <v>45271</v>
      </c>
      <c r="F51" s="353"/>
      <c r="G51" s="353"/>
      <c r="H51" s="353"/>
      <c r="I51" s="356">
        <v>45260</v>
      </c>
      <c r="J51" s="356">
        <v>45260</v>
      </c>
      <c r="K51" s="354"/>
    </row>
    <row r="52" spans="1:11">
      <c r="A52" s="353">
        <v>51</v>
      </c>
      <c r="B52" s="354" t="s">
        <v>465</v>
      </c>
      <c r="C52" s="369">
        <v>7552078860</v>
      </c>
      <c r="D52" s="355">
        <v>7552078880</v>
      </c>
      <c r="E52" s="356">
        <v>45271</v>
      </c>
      <c r="F52" s="370"/>
      <c r="G52" s="370"/>
      <c r="H52" s="370"/>
      <c r="I52" s="356">
        <v>45260</v>
      </c>
      <c r="J52" s="356">
        <v>45260</v>
      </c>
      <c r="K52" s="354"/>
    </row>
    <row r="53" spans="1:11">
      <c r="A53" s="353">
        <v>52</v>
      </c>
      <c r="B53" s="354" t="s">
        <v>465</v>
      </c>
      <c r="C53" s="354">
        <v>7552078570</v>
      </c>
      <c r="D53" s="355">
        <v>8984896682</v>
      </c>
      <c r="E53" s="356">
        <v>45271</v>
      </c>
      <c r="F53" s="353"/>
      <c r="G53" s="353"/>
      <c r="H53" s="353"/>
      <c r="I53" s="356">
        <v>45261</v>
      </c>
      <c r="J53" s="356">
        <v>45264</v>
      </c>
      <c r="K53" s="354"/>
    </row>
    <row r="54" spans="1:11">
      <c r="A54" s="353">
        <v>53</v>
      </c>
      <c r="B54" s="354" t="s">
        <v>465</v>
      </c>
      <c r="C54" s="354">
        <v>7552078610</v>
      </c>
      <c r="D54" s="355">
        <v>7552078530</v>
      </c>
      <c r="E54" s="356">
        <v>45271</v>
      </c>
      <c r="F54" s="353"/>
      <c r="G54" s="353"/>
      <c r="H54" s="353"/>
      <c r="I54" s="356">
        <v>45261</v>
      </c>
      <c r="J54" s="356">
        <v>45264</v>
      </c>
      <c r="K54" s="354"/>
    </row>
    <row r="55" spans="1:11">
      <c r="A55" s="353">
        <v>54</v>
      </c>
      <c r="B55" s="354" t="s">
        <v>465</v>
      </c>
      <c r="C55" s="354">
        <v>7552078690</v>
      </c>
      <c r="D55" s="355">
        <v>8983655351</v>
      </c>
      <c r="E55" s="356">
        <v>45271</v>
      </c>
      <c r="F55" s="353"/>
      <c r="G55" s="353"/>
      <c r="H55" s="353"/>
      <c r="I55" s="356">
        <v>45261</v>
      </c>
      <c r="J55" s="356">
        <v>45264</v>
      </c>
      <c r="K55" s="354"/>
    </row>
    <row r="56" spans="1:11">
      <c r="A56" s="353">
        <v>55</v>
      </c>
      <c r="B56" s="354" t="s">
        <v>465</v>
      </c>
      <c r="C56" s="354">
        <v>7552078720</v>
      </c>
      <c r="D56" s="355">
        <v>8972752250</v>
      </c>
      <c r="E56" s="356">
        <v>45271</v>
      </c>
      <c r="F56" s="353"/>
      <c r="G56" s="353"/>
      <c r="H56" s="353"/>
      <c r="I56" s="356">
        <v>45261</v>
      </c>
      <c r="J56" s="356">
        <v>45264</v>
      </c>
      <c r="K56" s="354"/>
    </row>
    <row r="57" spans="1:11">
      <c r="A57" s="353">
        <v>56</v>
      </c>
      <c r="B57" s="354" t="s">
        <v>465</v>
      </c>
      <c r="C57" s="354">
        <v>7552078800</v>
      </c>
      <c r="D57" s="355">
        <v>8983655372</v>
      </c>
      <c r="E57" s="356">
        <v>45271</v>
      </c>
      <c r="F57" s="353"/>
      <c r="G57" s="353"/>
      <c r="H57" s="353"/>
      <c r="I57" s="356">
        <v>45261</v>
      </c>
      <c r="J57" s="356">
        <v>45264</v>
      </c>
      <c r="K57" s="354"/>
    </row>
    <row r="58" spans="1:11">
      <c r="A58" s="353">
        <v>57</v>
      </c>
      <c r="B58" s="354" t="s">
        <v>465</v>
      </c>
      <c r="C58" s="354">
        <v>7552078810</v>
      </c>
      <c r="D58" s="355">
        <v>8983655391</v>
      </c>
      <c r="E58" s="356">
        <v>45271</v>
      </c>
      <c r="F58" s="353"/>
      <c r="G58" s="353"/>
      <c r="H58" s="353"/>
      <c r="I58" s="356">
        <v>45261</v>
      </c>
      <c r="J58" s="356">
        <v>45264</v>
      </c>
      <c r="K58" s="354"/>
    </row>
    <row r="59" spans="1:11">
      <c r="A59" s="353">
        <v>58</v>
      </c>
      <c r="B59" s="354" t="s">
        <v>465</v>
      </c>
      <c r="C59" s="354">
        <v>7552078820</v>
      </c>
      <c r="D59" s="355">
        <v>7552078690</v>
      </c>
      <c r="E59" s="356">
        <v>45271</v>
      </c>
      <c r="F59" s="353"/>
      <c r="G59" s="353"/>
      <c r="H59" s="353"/>
      <c r="I59" s="356">
        <v>45261</v>
      </c>
      <c r="J59" s="356">
        <v>45264</v>
      </c>
      <c r="K59" s="354"/>
    </row>
    <row r="60" spans="1:11">
      <c r="A60" s="353">
        <v>59</v>
      </c>
      <c r="B60" s="354" t="s">
        <v>467</v>
      </c>
      <c r="C60" s="354">
        <v>8977917720</v>
      </c>
      <c r="D60" s="355">
        <v>8975042730</v>
      </c>
      <c r="E60" s="356">
        <v>45271</v>
      </c>
      <c r="F60" s="353"/>
      <c r="G60" s="353"/>
      <c r="H60" s="353"/>
      <c r="I60" s="356">
        <v>45261</v>
      </c>
      <c r="J60" s="356">
        <v>45264</v>
      </c>
      <c r="K60" s="354"/>
    </row>
    <row r="61" spans="1:11">
      <c r="A61" s="353">
        <v>60</v>
      </c>
      <c r="B61" s="354" t="s">
        <v>465</v>
      </c>
      <c r="C61" s="354">
        <v>7551909372</v>
      </c>
      <c r="D61" s="355">
        <v>7551909362</v>
      </c>
      <c r="E61" s="356">
        <v>45278</v>
      </c>
      <c r="F61" s="353"/>
      <c r="G61" s="353"/>
      <c r="H61" s="353"/>
      <c r="I61" s="356">
        <v>45265</v>
      </c>
      <c r="J61" s="356">
        <v>45265</v>
      </c>
      <c r="K61" s="354"/>
    </row>
    <row r="62" spans="1:11">
      <c r="A62" s="353">
        <v>61</v>
      </c>
      <c r="B62" s="354" t="s">
        <v>465</v>
      </c>
      <c r="C62" s="372">
        <v>7551909760</v>
      </c>
      <c r="D62" s="355">
        <v>7551909750</v>
      </c>
      <c r="E62" s="356">
        <v>45278</v>
      </c>
      <c r="F62" s="370"/>
      <c r="G62" s="370"/>
      <c r="H62" s="370"/>
      <c r="I62" s="356">
        <v>45265</v>
      </c>
      <c r="J62" s="356">
        <v>45265</v>
      </c>
      <c r="K62" s="354"/>
    </row>
    <row r="63" spans="1:11">
      <c r="A63" s="353">
        <v>62</v>
      </c>
      <c r="B63" s="354" t="s">
        <v>465</v>
      </c>
      <c r="C63" s="354">
        <v>7551950910</v>
      </c>
      <c r="D63" s="355">
        <v>7551950890</v>
      </c>
      <c r="E63" s="356">
        <v>45278</v>
      </c>
      <c r="F63" s="353"/>
      <c r="G63" s="353"/>
      <c r="H63" s="353"/>
      <c r="I63" s="356">
        <v>45265</v>
      </c>
      <c r="J63" s="356">
        <v>45265</v>
      </c>
      <c r="K63" s="354"/>
    </row>
    <row r="64" spans="1:11">
      <c r="A64" s="353">
        <v>63</v>
      </c>
      <c r="B64" s="354" t="s">
        <v>465</v>
      </c>
      <c r="C64" s="372">
        <v>7551885252</v>
      </c>
      <c r="D64" s="372">
        <v>7551885251</v>
      </c>
      <c r="E64" s="356">
        <v>45278</v>
      </c>
      <c r="F64" s="370"/>
      <c r="G64" s="370"/>
      <c r="H64" s="370"/>
      <c r="I64" s="356">
        <v>45278</v>
      </c>
      <c r="J64" s="356">
        <v>45279</v>
      </c>
      <c r="K64" s="354"/>
    </row>
    <row r="65" spans="1:11">
      <c r="A65" s="353">
        <v>64</v>
      </c>
      <c r="B65" s="354" t="s">
        <v>465</v>
      </c>
      <c r="C65" s="372">
        <v>7551885422</v>
      </c>
      <c r="D65" s="372">
        <v>7551885421</v>
      </c>
      <c r="E65" s="356">
        <v>45278</v>
      </c>
      <c r="F65" s="370"/>
      <c r="G65" s="370"/>
      <c r="H65" s="370"/>
      <c r="I65" s="356">
        <v>45278</v>
      </c>
      <c r="J65" s="356">
        <v>45278</v>
      </c>
      <c r="K65" s="354"/>
    </row>
    <row r="66" spans="1:11">
      <c r="A66" s="353">
        <v>65</v>
      </c>
      <c r="B66" s="354" t="s">
        <v>465</v>
      </c>
      <c r="C66" s="372">
        <v>7551885522</v>
      </c>
      <c r="D66" s="372">
        <v>7551885521</v>
      </c>
      <c r="E66" s="356">
        <v>45278</v>
      </c>
      <c r="F66" s="370"/>
      <c r="G66" s="370"/>
      <c r="H66" s="370"/>
      <c r="I66" s="356">
        <v>45278</v>
      </c>
      <c r="J66" s="356">
        <v>45278</v>
      </c>
      <c r="K66" s="354"/>
    </row>
    <row r="67" spans="1:11">
      <c r="A67" s="353">
        <v>66</v>
      </c>
      <c r="B67" s="354" t="s">
        <v>465</v>
      </c>
      <c r="C67" s="372">
        <v>7551885592</v>
      </c>
      <c r="D67" s="372">
        <v>7551885591</v>
      </c>
      <c r="E67" s="356">
        <v>45278</v>
      </c>
      <c r="F67" s="370"/>
      <c r="G67" s="370"/>
      <c r="H67" s="370"/>
      <c r="I67" s="356">
        <v>45278</v>
      </c>
      <c r="J67" s="356">
        <v>45279</v>
      </c>
      <c r="K67" s="354"/>
    </row>
    <row r="68" spans="1:11">
      <c r="A68" s="353">
        <v>67</v>
      </c>
      <c r="B68" s="354" t="s">
        <v>465</v>
      </c>
      <c r="C68" s="372">
        <v>7551885662</v>
      </c>
      <c r="D68" s="372">
        <v>7551885661</v>
      </c>
      <c r="E68" s="356">
        <v>45278</v>
      </c>
      <c r="F68" s="370"/>
      <c r="G68" s="370"/>
      <c r="H68" s="370"/>
      <c r="I68" s="356">
        <v>45278</v>
      </c>
      <c r="J68" s="356">
        <v>45278</v>
      </c>
      <c r="K68" s="354"/>
    </row>
    <row r="69" spans="1:11">
      <c r="A69" s="353">
        <v>68</v>
      </c>
      <c r="B69" s="354" t="s">
        <v>465</v>
      </c>
      <c r="C69" s="372">
        <v>7551885732</v>
      </c>
      <c r="D69" s="372">
        <v>7551885731</v>
      </c>
      <c r="E69" s="356">
        <v>45278</v>
      </c>
      <c r="F69" s="370"/>
      <c r="G69" s="370"/>
      <c r="H69" s="370"/>
      <c r="I69" s="356">
        <v>45278</v>
      </c>
      <c r="J69" s="356">
        <v>45278</v>
      </c>
      <c r="K69" s="354"/>
    </row>
    <row r="70" spans="1:11">
      <c r="A70" s="353">
        <v>69</v>
      </c>
      <c r="B70" s="354" t="s">
        <v>465</v>
      </c>
      <c r="C70" s="372">
        <v>7551885812</v>
      </c>
      <c r="D70" s="372">
        <v>7551885811</v>
      </c>
      <c r="E70" s="356">
        <v>45278</v>
      </c>
      <c r="F70" s="370"/>
      <c r="G70" s="370"/>
      <c r="H70" s="370"/>
      <c r="I70" s="356">
        <v>45278</v>
      </c>
      <c r="J70" s="356">
        <v>45279</v>
      </c>
      <c r="K70" s="354"/>
    </row>
    <row r="71" spans="1:11">
      <c r="A71" s="353">
        <v>70</v>
      </c>
      <c r="B71" s="354" t="s">
        <v>465</v>
      </c>
      <c r="C71" s="372">
        <v>7551885882</v>
      </c>
      <c r="D71" s="372">
        <v>7551885881</v>
      </c>
      <c r="E71" s="356">
        <v>45278</v>
      </c>
      <c r="F71" s="370"/>
      <c r="G71" s="370"/>
      <c r="H71" s="370"/>
      <c r="I71" s="356">
        <v>45278</v>
      </c>
      <c r="J71" s="356">
        <v>45279</v>
      </c>
      <c r="K71" s="354"/>
    </row>
    <row r="72" spans="1:11">
      <c r="A72" s="353">
        <v>71</v>
      </c>
      <c r="B72" s="354" t="s">
        <v>465</v>
      </c>
      <c r="C72" s="372">
        <v>7552043252</v>
      </c>
      <c r="D72" s="372">
        <v>7552043251</v>
      </c>
      <c r="E72" s="356">
        <v>45278</v>
      </c>
      <c r="F72" s="370"/>
      <c r="G72" s="370"/>
      <c r="H72" s="370"/>
      <c r="I72" s="356">
        <v>45278</v>
      </c>
      <c r="J72" s="356">
        <v>45279</v>
      </c>
      <c r="K72" s="354"/>
    </row>
    <row r="73" spans="1:11">
      <c r="A73" s="353">
        <v>72</v>
      </c>
      <c r="B73" s="354" t="s">
        <v>465</v>
      </c>
      <c r="C73" s="372">
        <v>7551885532</v>
      </c>
      <c r="D73" s="372">
        <v>7551885531</v>
      </c>
      <c r="E73" s="356">
        <v>45278</v>
      </c>
      <c r="F73" s="370"/>
      <c r="G73" s="370"/>
      <c r="H73" s="370"/>
      <c r="I73" s="356">
        <v>45279</v>
      </c>
      <c r="J73" s="356">
        <v>45279</v>
      </c>
      <c r="K73" s="354"/>
    </row>
    <row r="74" spans="1:11">
      <c r="A74" s="353">
        <v>73</v>
      </c>
      <c r="B74" s="354" t="s">
        <v>465</v>
      </c>
      <c r="C74" s="372">
        <v>7551885622</v>
      </c>
      <c r="D74" s="372">
        <v>7551885621</v>
      </c>
      <c r="E74" s="356">
        <v>45278</v>
      </c>
      <c r="F74" s="370"/>
      <c r="G74" s="370"/>
      <c r="H74" s="370"/>
      <c r="I74" s="356">
        <v>45279</v>
      </c>
      <c r="J74" s="356">
        <v>45279</v>
      </c>
      <c r="K74" s="354"/>
    </row>
    <row r="75" spans="1:11">
      <c r="A75" s="353">
        <v>74</v>
      </c>
      <c r="B75" s="354" t="s">
        <v>465</v>
      </c>
      <c r="C75" s="372">
        <v>7551885712</v>
      </c>
      <c r="D75" s="372">
        <v>7551885711</v>
      </c>
      <c r="E75" s="356">
        <v>45278</v>
      </c>
      <c r="F75" s="370"/>
      <c r="G75" s="370"/>
      <c r="H75" s="370"/>
      <c r="I75" s="356">
        <v>45279</v>
      </c>
      <c r="J75" s="356">
        <v>45279</v>
      </c>
      <c r="K75" s="354"/>
    </row>
    <row r="76" spans="1:11">
      <c r="A76" s="353">
        <v>75</v>
      </c>
      <c r="B76" s="354" t="s">
        <v>465</v>
      </c>
      <c r="C76" s="372">
        <v>7551885822</v>
      </c>
      <c r="D76" s="372">
        <v>7551885821</v>
      </c>
      <c r="E76" s="356">
        <v>45278</v>
      </c>
      <c r="F76" s="370"/>
      <c r="G76" s="370"/>
      <c r="H76" s="370"/>
      <c r="I76" s="356">
        <v>45279</v>
      </c>
      <c r="J76" s="356">
        <v>45279</v>
      </c>
      <c r="K76" s="354"/>
    </row>
    <row r="77" spans="1:11">
      <c r="A77" s="353">
        <v>76</v>
      </c>
      <c r="B77" s="354" t="s">
        <v>465</v>
      </c>
      <c r="C77" s="372">
        <v>7551885832</v>
      </c>
      <c r="D77" s="372">
        <v>7551885831</v>
      </c>
      <c r="E77" s="356">
        <v>45278</v>
      </c>
      <c r="F77" s="370"/>
      <c r="G77" s="370"/>
      <c r="H77" s="370"/>
      <c r="I77" s="356">
        <v>45279</v>
      </c>
      <c r="J77" s="356">
        <v>45279</v>
      </c>
      <c r="K77" s="354"/>
    </row>
    <row r="78" spans="1:11">
      <c r="A78" s="353">
        <v>77</v>
      </c>
      <c r="B78" s="354" t="s">
        <v>465</v>
      </c>
      <c r="C78" s="372">
        <v>7551885892</v>
      </c>
      <c r="D78" s="372">
        <v>7551885891</v>
      </c>
      <c r="E78" s="356">
        <v>45278</v>
      </c>
      <c r="F78" s="370"/>
      <c r="G78" s="370"/>
      <c r="H78" s="370"/>
      <c r="I78" s="356">
        <v>45279</v>
      </c>
      <c r="J78" s="356">
        <v>45279</v>
      </c>
      <c r="K78" s="354"/>
    </row>
    <row r="79" spans="1:11">
      <c r="A79" s="353">
        <v>78</v>
      </c>
      <c r="B79" s="354" t="s">
        <v>465</v>
      </c>
      <c r="C79" s="372">
        <v>7552043212</v>
      </c>
      <c r="D79" s="372">
        <v>7552043211</v>
      </c>
      <c r="E79" s="356">
        <v>45278</v>
      </c>
      <c r="F79" s="370"/>
      <c r="G79" s="370"/>
      <c r="H79" s="370"/>
      <c r="I79" s="356">
        <v>45279</v>
      </c>
      <c r="J79" s="356">
        <v>45279</v>
      </c>
      <c r="K79" s="354"/>
    </row>
    <row r="80" spans="1:11">
      <c r="A80" s="353">
        <v>79</v>
      </c>
      <c r="B80" s="354" t="s">
        <v>465</v>
      </c>
      <c r="C80" s="372">
        <v>7552043262</v>
      </c>
      <c r="D80" s="372">
        <v>7552043261</v>
      </c>
      <c r="E80" s="356">
        <v>45278</v>
      </c>
      <c r="F80" s="370"/>
      <c r="G80" s="370"/>
      <c r="H80" s="370"/>
      <c r="I80" s="356">
        <v>45279</v>
      </c>
      <c r="J80" s="356">
        <v>45279</v>
      </c>
      <c r="K80" s="354"/>
    </row>
    <row r="81" spans="1:11">
      <c r="A81" s="353">
        <v>80</v>
      </c>
      <c r="B81" s="354" t="s">
        <v>467</v>
      </c>
      <c r="C81" s="372">
        <v>8972745780</v>
      </c>
      <c r="D81" s="373">
        <v>8982261462</v>
      </c>
      <c r="E81" s="356">
        <v>45278</v>
      </c>
      <c r="F81" s="370"/>
      <c r="G81" s="370"/>
      <c r="H81" s="370"/>
      <c r="I81" s="356">
        <v>45279</v>
      </c>
      <c r="J81" s="356">
        <v>45279</v>
      </c>
      <c r="K81" s="354"/>
    </row>
    <row r="82" spans="1:11">
      <c r="A82" s="353">
        <v>81</v>
      </c>
      <c r="B82" s="354" t="s">
        <v>465</v>
      </c>
      <c r="C82" s="372">
        <v>8978794423</v>
      </c>
      <c r="D82" s="372">
        <v>8978794422</v>
      </c>
      <c r="E82" s="356">
        <v>45278</v>
      </c>
      <c r="F82" s="370"/>
      <c r="G82" s="370"/>
      <c r="H82" s="370"/>
      <c r="I82" s="356">
        <v>45279</v>
      </c>
      <c r="J82" s="356">
        <v>45279</v>
      </c>
      <c r="K82" s="354"/>
    </row>
    <row r="83" spans="1:11">
      <c r="A83" s="374">
        <v>81</v>
      </c>
      <c r="B83" s="375" t="s">
        <v>468</v>
      </c>
      <c r="C83" s="375">
        <v>7551885402</v>
      </c>
      <c r="D83" s="375" t="s">
        <v>469</v>
      </c>
      <c r="E83" s="376">
        <v>45278</v>
      </c>
      <c r="F83" s="377"/>
      <c r="G83" s="378"/>
      <c r="H83" s="378"/>
      <c r="I83" s="376" t="s">
        <v>470</v>
      </c>
      <c r="J83" s="376">
        <v>45644</v>
      </c>
      <c r="K83" s="379"/>
    </row>
    <row r="84" spans="1:11">
      <c r="A84" s="374">
        <v>82</v>
      </c>
      <c r="B84" s="375" t="s">
        <v>468</v>
      </c>
      <c r="C84" s="375">
        <v>7551885632</v>
      </c>
      <c r="D84" s="375" t="s">
        <v>471</v>
      </c>
      <c r="E84" s="376">
        <v>45278</v>
      </c>
      <c r="F84" s="377"/>
      <c r="G84" s="378"/>
      <c r="H84" s="378"/>
      <c r="I84" s="376" t="s">
        <v>470</v>
      </c>
      <c r="J84" s="376"/>
      <c r="K84" s="379"/>
    </row>
    <row r="85" spans="1:11">
      <c r="A85" s="353">
        <v>83</v>
      </c>
      <c r="B85" s="354" t="s">
        <v>465</v>
      </c>
      <c r="C85" s="372">
        <v>7551885203</v>
      </c>
      <c r="D85" s="355">
        <v>7551885202</v>
      </c>
      <c r="E85" s="356">
        <v>45285</v>
      </c>
      <c r="F85" s="370"/>
      <c r="G85" s="370"/>
      <c r="H85" s="370"/>
      <c r="I85" s="356">
        <v>45265</v>
      </c>
      <c r="J85" s="356">
        <v>45265</v>
      </c>
      <c r="K85" s="354"/>
    </row>
    <row r="86" spans="1:11">
      <c r="A86" s="353">
        <v>84</v>
      </c>
      <c r="B86" s="354" t="s">
        <v>465</v>
      </c>
      <c r="C86" s="372">
        <v>7552043222</v>
      </c>
      <c r="D86" s="372">
        <v>7552043221</v>
      </c>
      <c r="E86" s="356">
        <v>45285</v>
      </c>
      <c r="F86" s="370"/>
      <c r="G86" s="370"/>
      <c r="H86" s="370"/>
      <c r="I86" s="356">
        <v>45265</v>
      </c>
      <c r="J86" s="356">
        <v>45265</v>
      </c>
      <c r="K86" s="354"/>
    </row>
    <row r="87" spans="1:11">
      <c r="A87" s="353">
        <v>85</v>
      </c>
      <c r="B87" s="354" t="s">
        <v>465</v>
      </c>
      <c r="C87" s="372">
        <v>7552078870</v>
      </c>
      <c r="D87" s="355">
        <v>7552078860</v>
      </c>
      <c r="E87" s="356">
        <v>45285</v>
      </c>
      <c r="F87" s="370"/>
      <c r="G87" s="370"/>
      <c r="H87" s="370"/>
      <c r="I87" s="356">
        <v>45265</v>
      </c>
      <c r="J87" s="356">
        <v>45265</v>
      </c>
      <c r="K87" s="354"/>
    </row>
    <row r="88" spans="1:11">
      <c r="A88" s="353">
        <v>86</v>
      </c>
      <c r="B88" s="354" t="s">
        <v>465</v>
      </c>
      <c r="C88" s="372">
        <v>8978794323</v>
      </c>
      <c r="D88" s="372">
        <v>8978794322</v>
      </c>
      <c r="E88" s="356">
        <v>45285</v>
      </c>
      <c r="F88" s="370"/>
      <c r="G88" s="370"/>
      <c r="H88" s="370"/>
      <c r="I88" s="356">
        <v>45265</v>
      </c>
      <c r="J88" s="356">
        <v>45265</v>
      </c>
      <c r="K88" s="354"/>
    </row>
    <row r="89" spans="1:11">
      <c r="A89" s="353">
        <v>87</v>
      </c>
      <c r="B89" s="354" t="s">
        <v>465</v>
      </c>
      <c r="C89" s="372">
        <v>8978794453</v>
      </c>
      <c r="D89" s="355">
        <v>8978794452</v>
      </c>
      <c r="E89" s="356">
        <v>45285</v>
      </c>
      <c r="F89" s="370"/>
      <c r="G89" s="370"/>
      <c r="H89" s="370"/>
      <c r="I89" s="356">
        <v>45265</v>
      </c>
      <c r="J89" s="356">
        <v>45265</v>
      </c>
      <c r="K89" s="354"/>
    </row>
    <row r="90" spans="1:11">
      <c r="A90" s="353">
        <v>88</v>
      </c>
      <c r="B90" s="354" t="s">
        <v>465</v>
      </c>
      <c r="C90" s="372">
        <v>8978794463</v>
      </c>
      <c r="D90" s="355">
        <v>8978794462</v>
      </c>
      <c r="E90" s="356">
        <v>45285</v>
      </c>
      <c r="F90" s="370"/>
      <c r="G90" s="370"/>
      <c r="H90" s="370"/>
      <c r="I90" s="356">
        <v>45265</v>
      </c>
      <c r="J90" s="356">
        <v>45265</v>
      </c>
      <c r="K90" s="354"/>
    </row>
    <row r="91" spans="1:11">
      <c r="A91" s="374">
        <v>89</v>
      </c>
      <c r="B91" s="375" t="s">
        <v>468</v>
      </c>
      <c r="C91" s="375">
        <v>8978794544</v>
      </c>
      <c r="D91" s="375" t="s">
        <v>472</v>
      </c>
      <c r="E91" s="376">
        <v>45285</v>
      </c>
      <c r="F91" s="377"/>
      <c r="G91" s="378"/>
      <c r="H91" s="378"/>
      <c r="I91" s="376" t="s">
        <v>470</v>
      </c>
      <c r="J91" s="376"/>
      <c r="K91" s="379"/>
    </row>
    <row r="92" spans="1:11">
      <c r="A92" s="353">
        <v>90</v>
      </c>
      <c r="B92" s="354" t="s">
        <v>465</v>
      </c>
      <c r="C92" s="372">
        <v>8978794594</v>
      </c>
      <c r="D92" s="372">
        <v>8978794593</v>
      </c>
      <c r="E92" s="356">
        <v>45285</v>
      </c>
      <c r="F92" s="370"/>
      <c r="G92" s="370"/>
      <c r="H92" s="370"/>
      <c r="I92" s="356">
        <v>45265</v>
      </c>
      <c r="J92" s="356">
        <v>45265</v>
      </c>
      <c r="K92" s="354"/>
    </row>
    <row r="93" spans="1:11">
      <c r="A93" s="353">
        <v>91</v>
      </c>
      <c r="B93" s="354" t="s">
        <v>465</v>
      </c>
      <c r="C93" s="372">
        <v>8978794604</v>
      </c>
      <c r="D93" s="355">
        <v>8978794603</v>
      </c>
      <c r="E93" s="356">
        <v>45285</v>
      </c>
      <c r="F93" s="370"/>
      <c r="G93" s="370"/>
      <c r="H93" s="370"/>
      <c r="I93" s="356">
        <v>45265</v>
      </c>
      <c r="J93" s="356">
        <v>45265</v>
      </c>
      <c r="K93" s="354"/>
    </row>
    <row r="94" spans="1:11">
      <c r="A94" s="353">
        <v>92</v>
      </c>
      <c r="B94" s="354" t="s">
        <v>465</v>
      </c>
      <c r="C94" s="372">
        <v>8978794613</v>
      </c>
      <c r="D94" s="372">
        <v>8978794612</v>
      </c>
      <c r="E94" s="356">
        <v>45285</v>
      </c>
      <c r="F94" s="370"/>
      <c r="G94" s="370"/>
      <c r="H94" s="370"/>
      <c r="I94" s="356">
        <v>45265</v>
      </c>
      <c r="J94" s="356">
        <v>45265</v>
      </c>
      <c r="K94" s="354"/>
    </row>
    <row r="95" spans="1:11">
      <c r="A95" s="353">
        <v>93</v>
      </c>
      <c r="B95" s="354" t="s">
        <v>465</v>
      </c>
      <c r="C95" s="372">
        <v>8978794664</v>
      </c>
      <c r="D95" s="355">
        <v>8978794663</v>
      </c>
      <c r="E95" s="356">
        <v>45285</v>
      </c>
      <c r="F95" s="370"/>
      <c r="G95" s="370"/>
      <c r="H95" s="370"/>
      <c r="I95" s="356">
        <v>45265</v>
      </c>
      <c r="J95" s="356">
        <v>45265</v>
      </c>
      <c r="K95" s="354"/>
    </row>
    <row r="96" spans="1:11">
      <c r="A96" s="353">
        <v>94</v>
      </c>
      <c r="B96" s="354" t="s">
        <v>465</v>
      </c>
      <c r="C96" s="372">
        <v>8978794673</v>
      </c>
      <c r="D96" s="372">
        <v>8978794672</v>
      </c>
      <c r="E96" s="356">
        <v>45285</v>
      </c>
      <c r="F96" s="370"/>
      <c r="G96" s="370"/>
      <c r="H96" s="370"/>
      <c r="I96" s="356">
        <v>45265</v>
      </c>
      <c r="J96" s="356">
        <v>45265</v>
      </c>
      <c r="K96" s="354"/>
    </row>
    <row r="97" spans="1:11">
      <c r="A97" s="353">
        <v>95</v>
      </c>
      <c r="B97" s="354" t="s">
        <v>465</v>
      </c>
      <c r="C97" s="372">
        <v>8978794683</v>
      </c>
      <c r="D97" s="355">
        <v>8978794682</v>
      </c>
      <c r="E97" s="356">
        <v>45285</v>
      </c>
      <c r="F97" s="370"/>
      <c r="G97" s="370"/>
      <c r="H97" s="370"/>
      <c r="I97" s="356">
        <v>45267</v>
      </c>
      <c r="J97" s="356">
        <v>45265</v>
      </c>
      <c r="K97" s="354"/>
    </row>
    <row r="98" spans="1:11">
      <c r="A98" s="353">
        <v>96</v>
      </c>
      <c r="B98" s="354" t="s">
        <v>465</v>
      </c>
      <c r="C98" s="372">
        <v>8978794694</v>
      </c>
      <c r="D98" s="355">
        <v>8978794693</v>
      </c>
      <c r="E98" s="356">
        <v>45285</v>
      </c>
      <c r="F98" s="370"/>
      <c r="G98" s="370"/>
      <c r="H98" s="370"/>
      <c r="I98" s="356">
        <v>45267</v>
      </c>
      <c r="J98" s="356">
        <v>45267</v>
      </c>
      <c r="K98" s="354"/>
    </row>
    <row r="99" spans="1:11">
      <c r="A99" s="353">
        <v>97</v>
      </c>
      <c r="B99" s="354" t="s">
        <v>465</v>
      </c>
      <c r="C99" s="372">
        <v>8978794703</v>
      </c>
      <c r="D99" s="372">
        <v>8978794702</v>
      </c>
      <c r="E99" s="356">
        <v>45285</v>
      </c>
      <c r="F99" s="370"/>
      <c r="G99" s="370"/>
      <c r="H99" s="370"/>
      <c r="I99" s="356">
        <v>45267</v>
      </c>
      <c r="J99" s="356">
        <v>45267</v>
      </c>
      <c r="K99" s="354"/>
    </row>
    <row r="100" spans="1:11">
      <c r="A100" s="353">
        <v>98</v>
      </c>
      <c r="B100" s="354" t="s">
        <v>465</v>
      </c>
      <c r="C100" s="372">
        <v>8978794713</v>
      </c>
      <c r="D100" s="372">
        <v>8978794712</v>
      </c>
      <c r="E100" s="356">
        <v>45285</v>
      </c>
      <c r="F100" s="370"/>
      <c r="G100" s="370"/>
      <c r="H100" s="370"/>
      <c r="I100" s="356">
        <v>45267</v>
      </c>
      <c r="J100" s="356">
        <v>45267</v>
      </c>
      <c r="K100" s="354"/>
    </row>
    <row r="101" spans="1:11">
      <c r="A101" s="353">
        <v>99</v>
      </c>
      <c r="B101" s="354" t="s">
        <v>465</v>
      </c>
      <c r="C101" s="372">
        <v>8978794763</v>
      </c>
      <c r="D101" s="372">
        <v>8978794762</v>
      </c>
      <c r="E101" s="356">
        <v>45285</v>
      </c>
      <c r="F101" s="370"/>
      <c r="G101" s="370"/>
      <c r="H101" s="370"/>
      <c r="I101" s="356">
        <v>45267</v>
      </c>
      <c r="J101" s="356">
        <v>45267</v>
      </c>
      <c r="K101" s="354"/>
    </row>
    <row r="102" spans="1:11">
      <c r="A102" s="353">
        <v>100</v>
      </c>
      <c r="B102" s="354" t="s">
        <v>465</v>
      </c>
      <c r="C102" s="372">
        <v>8978794773</v>
      </c>
      <c r="D102" s="355">
        <v>8978794772</v>
      </c>
      <c r="E102" s="356">
        <v>45285</v>
      </c>
      <c r="F102" s="370"/>
      <c r="G102" s="370"/>
      <c r="H102" s="370"/>
      <c r="I102" s="356">
        <v>45267</v>
      </c>
      <c r="J102" s="356">
        <v>45267</v>
      </c>
      <c r="K102" s="354"/>
    </row>
    <row r="103" spans="1:11">
      <c r="A103" s="353">
        <v>101</v>
      </c>
      <c r="B103" s="354" t="s">
        <v>465</v>
      </c>
      <c r="C103" s="372">
        <v>8978794783</v>
      </c>
      <c r="D103" s="355">
        <v>8978794782</v>
      </c>
      <c r="E103" s="356">
        <v>45285</v>
      </c>
      <c r="F103" s="370"/>
      <c r="G103" s="370"/>
      <c r="H103" s="370"/>
      <c r="I103" s="356">
        <v>45267</v>
      </c>
      <c r="J103" s="356">
        <v>45267</v>
      </c>
      <c r="K103" s="354"/>
    </row>
    <row r="104" spans="1:11">
      <c r="A104" s="353">
        <v>102</v>
      </c>
      <c r="B104" s="354" t="s">
        <v>465</v>
      </c>
      <c r="C104" s="372">
        <v>8978794923</v>
      </c>
      <c r="D104" s="355">
        <v>8978794922</v>
      </c>
      <c r="E104" s="356">
        <v>45285</v>
      </c>
      <c r="F104" s="370"/>
      <c r="G104" s="370"/>
      <c r="H104" s="370"/>
      <c r="I104" s="356">
        <v>45267</v>
      </c>
      <c r="J104" s="356">
        <v>45267</v>
      </c>
      <c r="K104" s="354"/>
    </row>
    <row r="105" spans="1:11">
      <c r="A105" s="353">
        <v>103</v>
      </c>
      <c r="B105" s="354" t="s">
        <v>465</v>
      </c>
      <c r="C105" s="372">
        <v>7551885223</v>
      </c>
      <c r="D105" s="372">
        <v>7551885222</v>
      </c>
      <c r="E105" s="356">
        <v>45299</v>
      </c>
      <c r="F105" s="370"/>
      <c r="G105" s="370"/>
      <c r="H105" s="370"/>
      <c r="I105" s="356">
        <v>45279</v>
      </c>
      <c r="J105" s="356">
        <v>45279</v>
      </c>
      <c r="K105" s="354"/>
    </row>
    <row r="106" spans="1:11">
      <c r="A106" s="353">
        <v>104</v>
      </c>
      <c r="B106" s="354" t="s">
        <v>465</v>
      </c>
      <c r="C106" s="372">
        <v>7551885442</v>
      </c>
      <c r="D106" s="355" t="s">
        <v>473</v>
      </c>
      <c r="E106" s="356">
        <v>45299</v>
      </c>
      <c r="F106" s="370"/>
      <c r="G106" s="370"/>
      <c r="H106" s="370"/>
      <c r="I106" s="356">
        <v>45279</v>
      </c>
      <c r="J106" s="356">
        <v>45279</v>
      </c>
      <c r="K106" s="354"/>
    </row>
    <row r="107" spans="1:11">
      <c r="A107" s="353">
        <v>105</v>
      </c>
      <c r="B107" s="354" t="s">
        <v>465</v>
      </c>
      <c r="C107" s="372">
        <v>7551885492</v>
      </c>
      <c r="D107" s="372">
        <v>7551885491</v>
      </c>
      <c r="E107" s="356">
        <v>45299</v>
      </c>
      <c r="F107" s="370"/>
      <c r="G107" s="370"/>
      <c r="H107" s="370"/>
      <c r="I107" s="356">
        <v>45279</v>
      </c>
      <c r="J107" s="356">
        <v>45279</v>
      </c>
      <c r="K107" s="354"/>
    </row>
    <row r="108" spans="1:11">
      <c r="A108" s="353">
        <v>106</v>
      </c>
      <c r="B108" s="354" t="s">
        <v>465</v>
      </c>
      <c r="C108" s="372">
        <v>7551885602</v>
      </c>
      <c r="D108" s="355" t="s">
        <v>474</v>
      </c>
      <c r="E108" s="356">
        <v>45299</v>
      </c>
      <c r="F108" s="370"/>
      <c r="G108" s="370"/>
      <c r="H108" s="370"/>
      <c r="I108" s="356">
        <v>45279</v>
      </c>
      <c r="J108" s="356">
        <v>45279</v>
      </c>
      <c r="K108" s="354"/>
    </row>
    <row r="109" spans="1:11">
      <c r="A109" s="353">
        <v>107</v>
      </c>
      <c r="B109" s="354" t="s">
        <v>465</v>
      </c>
      <c r="C109" s="372">
        <v>7551885762</v>
      </c>
      <c r="D109" s="372">
        <v>7551885761</v>
      </c>
      <c r="E109" s="356">
        <v>45299</v>
      </c>
      <c r="F109" s="370"/>
      <c r="G109" s="370"/>
      <c r="H109" s="370"/>
      <c r="I109" s="356">
        <v>45279</v>
      </c>
      <c r="J109" s="356">
        <v>45279</v>
      </c>
      <c r="K109" s="354"/>
    </row>
    <row r="110" spans="1:11">
      <c r="A110" s="353">
        <v>108</v>
      </c>
      <c r="B110" s="354" t="s">
        <v>465</v>
      </c>
      <c r="C110" s="372">
        <v>7551885902</v>
      </c>
      <c r="D110" s="372">
        <v>7551885901</v>
      </c>
      <c r="E110" s="356">
        <v>45299</v>
      </c>
      <c r="F110" s="370"/>
      <c r="G110" s="370"/>
      <c r="H110" s="370"/>
      <c r="I110" s="356">
        <v>45279</v>
      </c>
      <c r="J110" s="356">
        <v>45279</v>
      </c>
      <c r="K110" s="354"/>
    </row>
    <row r="111" spans="1:11">
      <c r="A111" s="353">
        <v>109</v>
      </c>
      <c r="B111" s="354" t="s">
        <v>467</v>
      </c>
      <c r="C111" s="372">
        <v>7551960500</v>
      </c>
      <c r="D111" s="372">
        <v>7551960520</v>
      </c>
      <c r="E111" s="356">
        <v>45299</v>
      </c>
      <c r="F111" s="370"/>
      <c r="G111" s="370"/>
      <c r="H111" s="370"/>
      <c r="I111" s="356">
        <v>45279</v>
      </c>
      <c r="J111" s="356">
        <v>45279</v>
      </c>
      <c r="K111" s="354"/>
    </row>
    <row r="112" spans="1:11">
      <c r="A112" s="353">
        <v>110</v>
      </c>
      <c r="B112" s="354" t="s">
        <v>465</v>
      </c>
      <c r="C112" s="372">
        <v>7552078280</v>
      </c>
      <c r="D112" s="355">
        <v>7552078270</v>
      </c>
      <c r="E112" s="356">
        <v>45299</v>
      </c>
      <c r="F112" s="370"/>
      <c r="G112" s="370"/>
      <c r="H112" s="370"/>
      <c r="I112" s="356">
        <v>45279</v>
      </c>
      <c r="J112" s="356">
        <v>45279</v>
      </c>
      <c r="K112" s="354"/>
    </row>
    <row r="113" spans="1:11" ht="17.399999999999999" customHeight="1">
      <c r="A113" s="353">
        <v>111</v>
      </c>
      <c r="B113" s="354" t="s">
        <v>465</v>
      </c>
      <c r="C113" s="372">
        <v>7552078411</v>
      </c>
      <c r="D113" s="372">
        <v>7552078410</v>
      </c>
      <c r="E113" s="356">
        <v>45299</v>
      </c>
      <c r="F113" s="370"/>
      <c r="G113" s="370"/>
      <c r="H113" s="370"/>
      <c r="I113" s="356">
        <v>45279</v>
      </c>
      <c r="J113" s="356">
        <v>45279</v>
      </c>
      <c r="K113" s="354"/>
    </row>
    <row r="114" spans="1:11">
      <c r="A114" s="353">
        <v>112</v>
      </c>
      <c r="B114" s="354" t="s">
        <v>465</v>
      </c>
      <c r="C114" s="372">
        <v>7552078670</v>
      </c>
      <c r="D114" s="355">
        <v>7552078870</v>
      </c>
      <c r="E114" s="356">
        <v>45299</v>
      </c>
      <c r="F114" s="370"/>
      <c r="G114" s="370"/>
      <c r="H114" s="370"/>
      <c r="I114" s="356">
        <v>45279</v>
      </c>
      <c r="J114" s="356">
        <v>45279</v>
      </c>
      <c r="K114" s="354"/>
    </row>
    <row r="115" spans="1:11">
      <c r="A115" s="353">
        <v>113</v>
      </c>
      <c r="B115" s="354" t="s">
        <v>465</v>
      </c>
      <c r="C115" s="372">
        <v>8978794393</v>
      </c>
      <c r="D115" s="372">
        <v>8978794392</v>
      </c>
      <c r="E115" s="356">
        <v>45299</v>
      </c>
      <c r="F115" s="370"/>
      <c r="G115" s="370"/>
      <c r="H115" s="370"/>
      <c r="I115" s="356">
        <v>45279</v>
      </c>
      <c r="J115" s="356">
        <v>45279</v>
      </c>
      <c r="K115" s="354"/>
    </row>
    <row r="116" spans="1:11">
      <c r="A116" s="353">
        <v>114</v>
      </c>
      <c r="B116" s="354" t="s">
        <v>465</v>
      </c>
      <c r="C116" s="372">
        <v>8978794473</v>
      </c>
      <c r="D116" s="372">
        <v>8978794472</v>
      </c>
      <c r="E116" s="356">
        <v>45299</v>
      </c>
      <c r="F116" s="370"/>
      <c r="G116" s="370"/>
      <c r="H116" s="370"/>
      <c r="I116" s="356">
        <v>45279</v>
      </c>
      <c r="J116" s="356">
        <v>45279</v>
      </c>
      <c r="K116" s="354"/>
    </row>
    <row r="117" spans="1:11">
      <c r="A117" s="353">
        <v>115</v>
      </c>
      <c r="B117" s="354" t="s">
        <v>465</v>
      </c>
      <c r="C117" s="372">
        <v>8978794583</v>
      </c>
      <c r="D117" s="372">
        <v>8978794582</v>
      </c>
      <c r="E117" s="356">
        <v>45299</v>
      </c>
      <c r="F117" s="370"/>
      <c r="G117" s="370"/>
      <c r="H117" s="370"/>
      <c r="I117" s="356">
        <v>45279</v>
      </c>
      <c r="J117" s="356">
        <v>45279</v>
      </c>
      <c r="K117" s="354"/>
    </row>
    <row r="118" spans="1:11">
      <c r="A118" s="353">
        <v>116</v>
      </c>
      <c r="B118" s="354" t="s">
        <v>465</v>
      </c>
      <c r="C118" s="372">
        <v>7551885312</v>
      </c>
      <c r="D118" s="354" t="s">
        <v>257</v>
      </c>
      <c r="E118" s="356">
        <v>45306</v>
      </c>
      <c r="F118" s="370"/>
      <c r="G118" s="370"/>
      <c r="H118" s="370"/>
      <c r="I118" s="356">
        <v>45286</v>
      </c>
      <c r="J118" s="356">
        <v>45286</v>
      </c>
      <c r="K118" s="354"/>
    </row>
    <row r="119" spans="1:11">
      <c r="A119" s="353">
        <v>117</v>
      </c>
      <c r="B119" s="354" t="s">
        <v>465</v>
      </c>
      <c r="C119" s="372">
        <v>7552043242</v>
      </c>
      <c r="D119" s="354" t="s">
        <v>257</v>
      </c>
      <c r="E119" s="356">
        <v>45306</v>
      </c>
      <c r="F119" s="370"/>
      <c r="G119" s="370"/>
      <c r="H119" s="370"/>
      <c r="I119" s="356">
        <v>45286</v>
      </c>
      <c r="J119" s="356">
        <v>45286</v>
      </c>
      <c r="K119" s="354"/>
    </row>
    <row r="120" spans="1:11">
      <c r="A120" s="353">
        <v>118</v>
      </c>
      <c r="B120" s="354" t="s">
        <v>465</v>
      </c>
      <c r="C120" s="372">
        <v>7552043272</v>
      </c>
      <c r="D120" s="354" t="s">
        <v>257</v>
      </c>
      <c r="E120" s="356">
        <v>45306</v>
      </c>
      <c r="F120" s="370"/>
      <c r="G120" s="370"/>
      <c r="H120" s="370"/>
      <c r="I120" s="356">
        <v>45286</v>
      </c>
      <c r="J120" s="356">
        <v>45286</v>
      </c>
      <c r="K120" s="354"/>
    </row>
    <row r="121" spans="1:11">
      <c r="A121" s="353">
        <v>119</v>
      </c>
      <c r="B121" s="354" t="s">
        <v>465</v>
      </c>
      <c r="C121" s="372">
        <v>7552208750</v>
      </c>
      <c r="D121" s="354" t="s">
        <v>244</v>
      </c>
      <c r="E121" s="356">
        <v>45306</v>
      </c>
      <c r="F121" s="370" t="s">
        <v>475</v>
      </c>
      <c r="G121" s="370"/>
      <c r="H121" s="370"/>
      <c r="I121" s="356">
        <v>45286</v>
      </c>
      <c r="J121" s="356">
        <v>45286</v>
      </c>
      <c r="K121" s="354"/>
    </row>
    <row r="122" spans="1:11">
      <c r="A122" s="353">
        <v>120</v>
      </c>
      <c r="B122" s="354" t="s">
        <v>467</v>
      </c>
      <c r="C122" s="372">
        <v>8977917251</v>
      </c>
      <c r="D122" s="354" t="s">
        <v>298</v>
      </c>
      <c r="E122" s="356">
        <v>45306</v>
      </c>
      <c r="F122" s="370" t="s">
        <v>476</v>
      </c>
      <c r="G122" s="370"/>
      <c r="H122" s="370"/>
      <c r="I122" s="356">
        <v>45286</v>
      </c>
      <c r="J122" s="356">
        <v>45286</v>
      </c>
      <c r="K122" s="354"/>
    </row>
    <row r="123" spans="1:11">
      <c r="A123" s="353">
        <v>121</v>
      </c>
      <c r="B123" s="354" t="s">
        <v>467</v>
      </c>
      <c r="C123" s="372">
        <v>8977917320</v>
      </c>
      <c r="D123" s="354" t="s">
        <v>298</v>
      </c>
      <c r="E123" s="356">
        <v>45306</v>
      </c>
      <c r="F123" s="370" t="s">
        <v>476</v>
      </c>
      <c r="G123" s="370"/>
      <c r="H123" s="370"/>
      <c r="I123" s="356">
        <v>45286</v>
      </c>
      <c r="J123" s="356">
        <v>45286</v>
      </c>
      <c r="K123" s="354"/>
    </row>
    <row r="124" spans="1:11">
      <c r="A124" s="353">
        <v>122</v>
      </c>
      <c r="B124" s="354" t="s">
        <v>465</v>
      </c>
      <c r="C124" s="372">
        <v>8978794443</v>
      </c>
      <c r="D124" s="354" t="s">
        <v>257</v>
      </c>
      <c r="E124" s="356">
        <v>45306</v>
      </c>
      <c r="F124" s="370" t="s">
        <v>476</v>
      </c>
      <c r="G124" s="370"/>
      <c r="H124" s="370"/>
      <c r="I124" s="356">
        <v>45286</v>
      </c>
      <c r="J124" s="356">
        <v>45286</v>
      </c>
      <c r="K124" s="354"/>
    </row>
    <row r="125" spans="1:11">
      <c r="A125" s="353">
        <v>123</v>
      </c>
      <c r="B125" s="354" t="s">
        <v>465</v>
      </c>
      <c r="C125" s="372">
        <v>8978794814</v>
      </c>
      <c r="D125" s="354" t="s">
        <v>257</v>
      </c>
      <c r="E125" s="356">
        <v>45306</v>
      </c>
      <c r="F125" s="370" t="s">
        <v>476</v>
      </c>
      <c r="G125" s="370"/>
      <c r="H125" s="370"/>
      <c r="I125" s="356">
        <v>45286</v>
      </c>
      <c r="J125" s="356">
        <v>45286</v>
      </c>
      <c r="K125" s="354"/>
    </row>
    <row r="126" spans="1:11">
      <c r="A126" s="353">
        <v>124</v>
      </c>
      <c r="B126" s="354" t="s">
        <v>465</v>
      </c>
      <c r="C126" s="372">
        <v>8978794944</v>
      </c>
      <c r="D126" s="354" t="s">
        <v>257</v>
      </c>
      <c r="E126" s="356">
        <v>45306</v>
      </c>
      <c r="F126" s="370" t="s">
        <v>476</v>
      </c>
      <c r="G126" s="370"/>
      <c r="H126" s="370"/>
      <c r="I126" s="356">
        <v>45286</v>
      </c>
      <c r="J126" s="356">
        <v>45286</v>
      </c>
      <c r="K126" s="354"/>
    </row>
    <row r="127" spans="1:11">
      <c r="A127" s="353">
        <v>125</v>
      </c>
      <c r="B127" s="354" t="s">
        <v>465</v>
      </c>
      <c r="C127" s="372">
        <v>8978845051</v>
      </c>
      <c r="D127" s="354" t="s">
        <v>282</v>
      </c>
      <c r="E127" s="356">
        <v>45306</v>
      </c>
      <c r="F127" s="370" t="s">
        <v>476</v>
      </c>
      <c r="G127" s="370"/>
      <c r="H127" s="370"/>
      <c r="I127" s="356">
        <v>45286</v>
      </c>
      <c r="J127" s="356">
        <v>45286</v>
      </c>
      <c r="K127" s="354"/>
    </row>
    <row r="128" spans="1:11">
      <c r="A128" s="353">
        <v>126</v>
      </c>
      <c r="B128" s="354" t="s">
        <v>465</v>
      </c>
      <c r="C128" s="354">
        <v>7551885432</v>
      </c>
      <c r="D128" s="355" t="s">
        <v>257</v>
      </c>
      <c r="E128" s="356">
        <v>45313</v>
      </c>
      <c r="F128" s="370" t="s">
        <v>476</v>
      </c>
      <c r="G128" s="370"/>
      <c r="H128" s="370"/>
      <c r="I128" s="356">
        <v>45300</v>
      </c>
      <c r="J128" s="356">
        <v>45300</v>
      </c>
      <c r="K128" s="354"/>
    </row>
    <row r="129" spans="1:11">
      <c r="A129" s="353">
        <v>127</v>
      </c>
      <c r="B129" s="354" t="s">
        <v>465</v>
      </c>
      <c r="C129" s="354">
        <v>7551885802</v>
      </c>
      <c r="D129" s="355" t="s">
        <v>257</v>
      </c>
      <c r="E129" s="356">
        <v>45313</v>
      </c>
      <c r="F129" s="370" t="s">
        <v>476</v>
      </c>
      <c r="G129" s="370"/>
      <c r="H129" s="370"/>
      <c r="I129" s="356">
        <v>45299</v>
      </c>
      <c r="J129" s="356">
        <v>45299</v>
      </c>
      <c r="K129" s="354"/>
    </row>
    <row r="130" spans="1:11">
      <c r="A130" s="353">
        <v>128</v>
      </c>
      <c r="B130" s="354" t="s">
        <v>465</v>
      </c>
      <c r="C130" s="354">
        <v>7551885942</v>
      </c>
      <c r="D130" s="355" t="s">
        <v>257</v>
      </c>
      <c r="E130" s="356">
        <v>45313</v>
      </c>
      <c r="F130" s="370" t="s">
        <v>476</v>
      </c>
      <c r="G130" s="370"/>
      <c r="H130" s="370"/>
      <c r="I130" s="356">
        <v>45299</v>
      </c>
      <c r="J130" s="356">
        <v>45299</v>
      </c>
      <c r="K130" s="354"/>
    </row>
    <row r="131" spans="1:11">
      <c r="A131" s="353">
        <v>129</v>
      </c>
      <c r="B131" s="354" t="s">
        <v>465</v>
      </c>
      <c r="C131" s="354">
        <v>7551909562</v>
      </c>
      <c r="D131" s="355" t="s">
        <v>245</v>
      </c>
      <c r="E131" s="356">
        <v>45313</v>
      </c>
      <c r="F131" s="370" t="s">
        <v>476</v>
      </c>
      <c r="G131" s="370"/>
      <c r="H131" s="370"/>
      <c r="I131" s="356">
        <v>45300</v>
      </c>
      <c r="J131" s="356">
        <v>45300</v>
      </c>
      <c r="K131" s="354"/>
    </row>
    <row r="132" spans="1:11">
      <c r="A132" s="353">
        <v>130</v>
      </c>
      <c r="B132" s="354" t="s">
        <v>465</v>
      </c>
      <c r="C132" s="354">
        <v>7551910260</v>
      </c>
      <c r="D132" s="355" t="s">
        <v>245</v>
      </c>
      <c r="E132" s="356">
        <v>45313</v>
      </c>
      <c r="F132" s="370" t="s">
        <v>476</v>
      </c>
      <c r="G132" s="370"/>
      <c r="H132" s="370"/>
      <c r="I132" s="356">
        <v>45466</v>
      </c>
      <c r="J132" s="356">
        <v>45299</v>
      </c>
      <c r="K132" s="354"/>
    </row>
    <row r="133" spans="1:11">
      <c r="A133" s="353">
        <v>131</v>
      </c>
      <c r="B133" s="354" t="s">
        <v>465</v>
      </c>
      <c r="C133" s="354">
        <v>7552078560</v>
      </c>
      <c r="D133" s="355" t="s">
        <v>275</v>
      </c>
      <c r="E133" s="356">
        <v>45313</v>
      </c>
      <c r="F133" s="370" t="s">
        <v>476</v>
      </c>
      <c r="G133" s="370"/>
      <c r="H133" s="370"/>
      <c r="I133" s="356">
        <v>45287</v>
      </c>
      <c r="J133" s="356">
        <v>45287</v>
      </c>
      <c r="K133" s="354"/>
    </row>
    <row r="134" spans="1:11">
      <c r="A134" s="353">
        <v>132</v>
      </c>
      <c r="B134" s="354" t="s">
        <v>465</v>
      </c>
      <c r="C134" s="354">
        <v>7552078730</v>
      </c>
      <c r="D134" s="355" t="s">
        <v>276</v>
      </c>
      <c r="E134" s="356">
        <v>45313</v>
      </c>
      <c r="F134" s="370" t="s">
        <v>476</v>
      </c>
      <c r="G134" s="370"/>
      <c r="H134" s="370"/>
      <c r="I134" s="356">
        <v>45287</v>
      </c>
      <c r="J134" s="356">
        <v>45287</v>
      </c>
      <c r="K134" s="354"/>
    </row>
    <row r="135" spans="1:11">
      <c r="A135" s="353">
        <v>133</v>
      </c>
      <c r="B135" s="354" t="s">
        <v>465</v>
      </c>
      <c r="C135" s="354">
        <v>7552241380</v>
      </c>
      <c r="D135" s="355" t="s">
        <v>261</v>
      </c>
      <c r="E135" s="356">
        <v>45313</v>
      </c>
      <c r="F135" s="370" t="s">
        <v>476</v>
      </c>
      <c r="G135" s="370"/>
      <c r="H135" s="370"/>
      <c r="I135" s="356">
        <v>45287</v>
      </c>
      <c r="J135" s="356">
        <v>45287</v>
      </c>
      <c r="K135" s="354"/>
    </row>
    <row r="136" spans="1:11">
      <c r="A136" s="353">
        <v>134</v>
      </c>
      <c r="B136" s="354" t="s">
        <v>465</v>
      </c>
      <c r="C136" s="354">
        <v>7552264310</v>
      </c>
      <c r="D136" s="355" t="s">
        <v>261</v>
      </c>
      <c r="E136" s="356">
        <v>45313</v>
      </c>
      <c r="F136" s="370" t="s">
        <v>476</v>
      </c>
      <c r="G136" s="370"/>
      <c r="H136" s="370"/>
      <c r="I136" s="356">
        <v>45287</v>
      </c>
      <c r="J136" s="356">
        <v>45287</v>
      </c>
      <c r="K136" s="354"/>
    </row>
    <row r="137" spans="1:11">
      <c r="A137" s="353">
        <v>135</v>
      </c>
      <c r="B137" s="354" t="s">
        <v>465</v>
      </c>
      <c r="C137" s="354">
        <v>7552264350</v>
      </c>
      <c r="D137" s="355" t="s">
        <v>261</v>
      </c>
      <c r="E137" s="356">
        <v>45313</v>
      </c>
      <c r="F137" s="370" t="s">
        <v>476</v>
      </c>
      <c r="G137" s="370"/>
      <c r="H137" s="370"/>
      <c r="I137" s="356">
        <v>45287</v>
      </c>
      <c r="J137" s="356">
        <v>45287</v>
      </c>
      <c r="K137" s="354"/>
    </row>
    <row r="138" spans="1:11">
      <c r="A138" s="353">
        <v>136</v>
      </c>
      <c r="B138" s="354" t="s">
        <v>465</v>
      </c>
      <c r="C138" s="354">
        <v>7552264360</v>
      </c>
      <c r="D138" s="355" t="s">
        <v>261</v>
      </c>
      <c r="E138" s="356">
        <v>45313</v>
      </c>
      <c r="F138" s="370" t="s">
        <v>476</v>
      </c>
      <c r="G138" s="370"/>
      <c r="H138" s="370"/>
      <c r="I138" s="356">
        <v>45287</v>
      </c>
      <c r="J138" s="356">
        <v>45287</v>
      </c>
      <c r="K138" s="354"/>
    </row>
    <row r="139" spans="1:11">
      <c r="A139" s="353">
        <v>137</v>
      </c>
      <c r="B139" s="354" t="s">
        <v>465</v>
      </c>
      <c r="C139" s="354">
        <v>7552264660</v>
      </c>
      <c r="D139" s="355" t="s">
        <v>261</v>
      </c>
      <c r="E139" s="356">
        <v>45313</v>
      </c>
      <c r="F139" s="370" t="s">
        <v>476</v>
      </c>
      <c r="G139" s="370"/>
      <c r="H139" s="370"/>
      <c r="I139" s="356">
        <v>45287</v>
      </c>
      <c r="J139" s="356">
        <v>45287</v>
      </c>
      <c r="K139" s="354"/>
    </row>
    <row r="140" spans="1:11">
      <c r="A140" s="353">
        <v>138</v>
      </c>
      <c r="B140" s="354" t="s">
        <v>467</v>
      </c>
      <c r="C140" s="354">
        <v>8972416562</v>
      </c>
      <c r="D140" s="355" t="s">
        <v>257</v>
      </c>
      <c r="E140" s="356">
        <v>45313</v>
      </c>
      <c r="F140" s="370" t="s">
        <v>476</v>
      </c>
      <c r="G140" s="370"/>
      <c r="H140" s="370"/>
      <c r="I140" s="356">
        <v>45288</v>
      </c>
      <c r="J140" s="356">
        <v>45288</v>
      </c>
      <c r="K140" s="354"/>
    </row>
    <row r="141" spans="1:11">
      <c r="A141" s="353">
        <v>139</v>
      </c>
      <c r="B141" s="354" t="s">
        <v>467</v>
      </c>
      <c r="C141" s="354">
        <v>8972416623</v>
      </c>
      <c r="D141" s="355" t="s">
        <v>257</v>
      </c>
      <c r="E141" s="356">
        <v>45313</v>
      </c>
      <c r="F141" s="370" t="s">
        <v>476</v>
      </c>
      <c r="G141" s="370"/>
      <c r="H141" s="370"/>
      <c r="I141" s="356">
        <v>45288</v>
      </c>
      <c r="J141" s="356">
        <v>45288</v>
      </c>
      <c r="K141" s="354"/>
    </row>
    <row r="142" spans="1:11">
      <c r="A142" s="353">
        <v>140</v>
      </c>
      <c r="B142" s="354" t="s">
        <v>465</v>
      </c>
      <c r="C142" s="354">
        <v>8972681152</v>
      </c>
      <c r="D142" s="355" t="s">
        <v>256</v>
      </c>
      <c r="E142" s="356">
        <v>45313</v>
      </c>
      <c r="F142" s="370" t="s">
        <v>476</v>
      </c>
      <c r="G142" s="370"/>
      <c r="H142" s="370"/>
      <c r="I142" s="356">
        <v>45287</v>
      </c>
      <c r="J142" s="356">
        <v>45287</v>
      </c>
      <c r="K142" s="354"/>
    </row>
    <row r="143" spans="1:11">
      <c r="A143" s="353">
        <v>141</v>
      </c>
      <c r="B143" s="354" t="s">
        <v>465</v>
      </c>
      <c r="C143" s="354">
        <v>8976891771</v>
      </c>
      <c r="D143" s="355" t="s">
        <v>11</v>
      </c>
      <c r="E143" s="356">
        <v>45313</v>
      </c>
      <c r="F143" s="370" t="s">
        <v>476</v>
      </c>
      <c r="G143" s="370"/>
      <c r="H143" s="370"/>
      <c r="I143" s="356">
        <v>45287</v>
      </c>
      <c r="J143" s="356">
        <v>45287</v>
      </c>
      <c r="K143" s="354"/>
    </row>
    <row r="144" spans="1:11">
      <c r="A144" s="353">
        <v>142</v>
      </c>
      <c r="B144" s="354" t="s">
        <v>467</v>
      </c>
      <c r="C144" s="354">
        <v>8977917240</v>
      </c>
      <c r="D144" s="355" t="s">
        <v>298</v>
      </c>
      <c r="E144" s="356">
        <v>45313</v>
      </c>
      <c r="F144" s="370" t="s">
        <v>476</v>
      </c>
      <c r="G144" s="370"/>
      <c r="H144" s="370"/>
      <c r="I144" s="356">
        <v>45287</v>
      </c>
      <c r="J144" s="356">
        <v>45287</v>
      </c>
      <c r="K144" s="354"/>
    </row>
    <row r="145" spans="1:11">
      <c r="A145" s="353">
        <v>143</v>
      </c>
      <c r="B145" s="354" t="s">
        <v>467</v>
      </c>
      <c r="C145" s="354">
        <v>8977917470</v>
      </c>
      <c r="D145" s="355" t="s">
        <v>298</v>
      </c>
      <c r="E145" s="356">
        <v>45313</v>
      </c>
      <c r="F145" s="370" t="s">
        <v>476</v>
      </c>
      <c r="G145" s="370"/>
      <c r="H145" s="370"/>
      <c r="I145" s="356">
        <v>45287</v>
      </c>
      <c r="J145" s="356">
        <v>45287</v>
      </c>
      <c r="K145" s="354"/>
    </row>
    <row r="146" spans="1:11">
      <c r="A146" s="353">
        <v>144</v>
      </c>
      <c r="B146" s="354" t="s">
        <v>467</v>
      </c>
      <c r="C146" s="354">
        <v>8978771271</v>
      </c>
      <c r="D146" s="355" t="s">
        <v>257</v>
      </c>
      <c r="E146" s="356">
        <v>45313</v>
      </c>
      <c r="F146" s="370" t="s">
        <v>476</v>
      </c>
      <c r="G146" s="370"/>
      <c r="H146" s="370"/>
      <c r="I146" s="356">
        <v>45288</v>
      </c>
      <c r="J146" s="356">
        <v>45288</v>
      </c>
      <c r="K146" s="354"/>
    </row>
    <row r="147" spans="1:11">
      <c r="A147" s="353">
        <v>145</v>
      </c>
      <c r="B147" s="354" t="s">
        <v>465</v>
      </c>
      <c r="C147" s="372">
        <v>8978794353</v>
      </c>
      <c r="D147" s="355" t="s">
        <v>257</v>
      </c>
      <c r="E147" s="356">
        <v>45313</v>
      </c>
      <c r="F147" s="370" t="s">
        <v>476</v>
      </c>
      <c r="G147" s="370"/>
      <c r="H147" s="370"/>
      <c r="I147" s="356">
        <v>45287</v>
      </c>
      <c r="J147" s="356">
        <v>45287</v>
      </c>
      <c r="K147" s="354"/>
    </row>
    <row r="148" spans="1:11">
      <c r="A148" s="353">
        <v>146</v>
      </c>
      <c r="B148" s="354" t="s">
        <v>465</v>
      </c>
      <c r="C148" s="354">
        <v>8978794533</v>
      </c>
      <c r="D148" s="355" t="s">
        <v>257</v>
      </c>
      <c r="E148" s="356">
        <v>45313</v>
      </c>
      <c r="F148" s="370" t="s">
        <v>476</v>
      </c>
      <c r="G148" s="370"/>
      <c r="H148" s="370"/>
      <c r="I148" s="356">
        <v>45287</v>
      </c>
      <c r="J148" s="356">
        <v>45287</v>
      </c>
      <c r="K148" s="354"/>
    </row>
    <row r="149" spans="1:11">
      <c r="A149" s="353">
        <v>147</v>
      </c>
      <c r="B149" s="354" t="s">
        <v>465</v>
      </c>
      <c r="C149" s="354">
        <v>8978794554</v>
      </c>
      <c r="D149" s="355" t="s">
        <v>257</v>
      </c>
      <c r="E149" s="356">
        <v>45313</v>
      </c>
      <c r="F149" s="370" t="s">
        <v>476</v>
      </c>
      <c r="G149" s="370"/>
      <c r="H149" s="370"/>
      <c r="I149" s="356">
        <v>45287</v>
      </c>
      <c r="J149" s="356">
        <v>45287</v>
      </c>
      <c r="K149" s="354"/>
    </row>
    <row r="150" spans="1:11">
      <c r="A150" s="353">
        <v>148</v>
      </c>
      <c r="B150" s="354" t="s">
        <v>465</v>
      </c>
      <c r="C150" s="354">
        <v>8978794733</v>
      </c>
      <c r="D150" s="355" t="s">
        <v>257</v>
      </c>
      <c r="E150" s="356">
        <v>45313</v>
      </c>
      <c r="F150" s="370" t="s">
        <v>476</v>
      </c>
      <c r="G150" s="370"/>
      <c r="H150" s="370"/>
      <c r="I150" s="356">
        <v>45287</v>
      </c>
      <c r="J150" s="356">
        <v>45287</v>
      </c>
      <c r="K150" s="354"/>
    </row>
    <row r="151" spans="1:11">
      <c r="A151" s="374">
        <v>149</v>
      </c>
      <c r="B151" s="375" t="s">
        <v>468</v>
      </c>
      <c r="C151" s="375">
        <v>8978794954</v>
      </c>
      <c r="D151" s="375" t="s">
        <v>257</v>
      </c>
      <c r="E151" s="376">
        <v>45313</v>
      </c>
      <c r="F151" s="377" t="s">
        <v>476</v>
      </c>
      <c r="G151" s="378"/>
      <c r="H151" s="378"/>
      <c r="I151" s="376">
        <v>45633</v>
      </c>
      <c r="J151" s="376">
        <v>45299</v>
      </c>
      <c r="K151" s="379"/>
    </row>
    <row r="152" spans="1:11">
      <c r="A152" s="353">
        <v>150</v>
      </c>
      <c r="B152" s="354" t="s">
        <v>465</v>
      </c>
      <c r="C152" s="354">
        <v>7551885193</v>
      </c>
      <c r="D152" s="355" t="s">
        <v>257</v>
      </c>
      <c r="E152" s="356">
        <v>45320</v>
      </c>
      <c r="F152" s="370" t="s">
        <v>476</v>
      </c>
      <c r="G152" s="370"/>
      <c r="H152" s="370"/>
      <c r="I152" s="356">
        <v>45300</v>
      </c>
      <c r="J152" s="356">
        <v>45300</v>
      </c>
      <c r="K152" s="354"/>
    </row>
    <row r="153" spans="1:11">
      <c r="A153" s="353">
        <v>151</v>
      </c>
      <c r="B153" s="354" t="s">
        <v>465</v>
      </c>
      <c r="C153" s="354">
        <v>7551885392</v>
      </c>
      <c r="D153" s="355" t="s">
        <v>257</v>
      </c>
      <c r="E153" s="356">
        <v>45320</v>
      </c>
      <c r="F153" s="370" t="s">
        <v>476</v>
      </c>
      <c r="G153" s="370"/>
      <c r="H153" s="370"/>
      <c r="I153" s="356">
        <v>45300</v>
      </c>
      <c r="J153" s="356">
        <v>45300</v>
      </c>
      <c r="K153" s="354"/>
    </row>
    <row r="154" spans="1:11">
      <c r="A154" s="353">
        <v>152</v>
      </c>
      <c r="B154" s="354" t="s">
        <v>465</v>
      </c>
      <c r="C154" s="354">
        <v>7551885672</v>
      </c>
      <c r="D154" s="355" t="s">
        <v>257</v>
      </c>
      <c r="E154" s="356">
        <v>45320</v>
      </c>
      <c r="F154" s="370" t="s">
        <v>476</v>
      </c>
      <c r="G154" s="370"/>
      <c r="H154" s="370"/>
      <c r="I154" s="356">
        <v>45307</v>
      </c>
      <c r="J154" s="356">
        <v>45307</v>
      </c>
      <c r="K154" s="354"/>
    </row>
    <row r="155" spans="1:11">
      <c r="A155" s="353">
        <v>153</v>
      </c>
      <c r="B155" s="354" t="s">
        <v>465</v>
      </c>
      <c r="C155" s="354">
        <v>7552078290</v>
      </c>
      <c r="D155" s="355" t="s">
        <v>278</v>
      </c>
      <c r="E155" s="356">
        <v>45320</v>
      </c>
      <c r="F155" s="370" t="s">
        <v>476</v>
      </c>
      <c r="G155" s="370"/>
      <c r="H155" s="370"/>
      <c r="I155" s="356">
        <v>45302</v>
      </c>
      <c r="J155" s="356">
        <v>45302</v>
      </c>
      <c r="K155" s="354"/>
    </row>
    <row r="156" spans="1:11">
      <c r="A156" s="353">
        <v>154</v>
      </c>
      <c r="B156" s="354" t="s">
        <v>467</v>
      </c>
      <c r="C156" s="354">
        <v>8972416543</v>
      </c>
      <c r="D156" s="355" t="s">
        <v>257</v>
      </c>
      <c r="E156" s="356">
        <v>45320</v>
      </c>
      <c r="F156" s="370" t="s">
        <v>476</v>
      </c>
      <c r="G156" s="370"/>
      <c r="H156" s="370"/>
      <c r="I156" s="356">
        <v>45289</v>
      </c>
      <c r="J156" s="356">
        <v>45655</v>
      </c>
      <c r="K156" s="354"/>
    </row>
    <row r="157" spans="1:11">
      <c r="A157" s="353">
        <v>155</v>
      </c>
      <c r="B157" s="354" t="s">
        <v>467</v>
      </c>
      <c r="C157" s="354">
        <v>8972416572</v>
      </c>
      <c r="D157" s="355" t="s">
        <v>257</v>
      </c>
      <c r="E157" s="356">
        <v>45320</v>
      </c>
      <c r="F157" s="370" t="s">
        <v>476</v>
      </c>
      <c r="G157" s="370"/>
      <c r="H157" s="370"/>
      <c r="I157" s="356">
        <v>45302</v>
      </c>
      <c r="J157" s="356">
        <v>45302</v>
      </c>
      <c r="K157" s="354"/>
    </row>
    <row r="158" spans="1:11">
      <c r="A158" s="353">
        <v>156</v>
      </c>
      <c r="B158" s="354" t="s">
        <v>465</v>
      </c>
      <c r="C158" s="354">
        <v>8978363694</v>
      </c>
      <c r="D158" s="355" t="s">
        <v>245</v>
      </c>
      <c r="E158" s="356">
        <v>45320</v>
      </c>
      <c r="F158" s="370" t="s">
        <v>476</v>
      </c>
      <c r="G158" s="370"/>
      <c r="H158" s="370"/>
      <c r="I158" s="356">
        <v>45300</v>
      </c>
      <c r="J158" s="356">
        <v>45300</v>
      </c>
      <c r="K158" s="354"/>
    </row>
    <row r="159" spans="1:11">
      <c r="A159" s="353">
        <v>157</v>
      </c>
      <c r="B159" s="354" t="s">
        <v>465</v>
      </c>
      <c r="C159" s="354">
        <v>8978794863</v>
      </c>
      <c r="D159" s="355" t="s">
        <v>257</v>
      </c>
      <c r="E159" s="356">
        <v>45320</v>
      </c>
      <c r="F159" s="370" t="s">
        <v>476</v>
      </c>
      <c r="G159" s="370"/>
      <c r="H159" s="370"/>
      <c r="I159" s="356">
        <v>45299</v>
      </c>
      <c r="J159" s="356">
        <v>45299</v>
      </c>
      <c r="K159" s="354"/>
    </row>
    <row r="160" spans="1:11">
      <c r="A160" s="353">
        <v>158</v>
      </c>
      <c r="B160" s="354" t="s">
        <v>465</v>
      </c>
      <c r="C160" s="354">
        <v>8978794883</v>
      </c>
      <c r="D160" s="355" t="s">
        <v>257</v>
      </c>
      <c r="E160" s="356">
        <v>45320</v>
      </c>
      <c r="F160" s="370" t="s">
        <v>476</v>
      </c>
      <c r="G160" s="370"/>
      <c r="H160" s="370"/>
      <c r="I160" s="356">
        <v>45302</v>
      </c>
      <c r="J160" s="356">
        <v>45302</v>
      </c>
      <c r="K160" s="354"/>
    </row>
    <row r="161" spans="1:11">
      <c r="A161" s="353">
        <v>159</v>
      </c>
      <c r="B161" s="354" t="s">
        <v>465</v>
      </c>
      <c r="C161" s="369">
        <v>8978844954</v>
      </c>
      <c r="D161" s="355" t="s">
        <v>247</v>
      </c>
      <c r="E161" s="356">
        <v>45320</v>
      </c>
      <c r="F161" s="370" t="s">
        <v>476</v>
      </c>
      <c r="G161" s="370"/>
      <c r="H161" s="370"/>
      <c r="I161" s="356">
        <v>45302</v>
      </c>
      <c r="J161" s="356">
        <v>45302</v>
      </c>
      <c r="K161" s="354"/>
    </row>
    <row r="162" spans="1:11">
      <c r="A162" s="353">
        <v>160</v>
      </c>
      <c r="B162" s="354" t="s">
        <v>465</v>
      </c>
      <c r="C162" s="354">
        <v>8978844984</v>
      </c>
      <c r="D162" s="355" t="s">
        <v>247</v>
      </c>
      <c r="E162" s="356">
        <v>45320</v>
      </c>
      <c r="F162" s="370" t="s">
        <v>476</v>
      </c>
      <c r="G162" s="370"/>
      <c r="H162" s="370"/>
      <c r="I162" s="356">
        <v>45300</v>
      </c>
      <c r="J162" s="356">
        <v>45300</v>
      </c>
      <c r="K162" s="354"/>
    </row>
    <row r="163" spans="1:11">
      <c r="A163" s="353">
        <v>161</v>
      </c>
      <c r="B163" s="354" t="s">
        <v>465</v>
      </c>
      <c r="C163" s="354">
        <v>8978845015</v>
      </c>
      <c r="D163" s="355" t="s">
        <v>247</v>
      </c>
      <c r="E163" s="356">
        <v>45320</v>
      </c>
      <c r="F163" s="370" t="s">
        <v>476</v>
      </c>
      <c r="G163" s="370"/>
      <c r="H163" s="370"/>
      <c r="I163" s="356">
        <v>45300</v>
      </c>
      <c r="J163" s="356">
        <v>45300</v>
      </c>
      <c r="K163" s="354"/>
    </row>
    <row r="164" spans="1:11">
      <c r="A164" s="353">
        <v>162</v>
      </c>
      <c r="B164" s="354" t="s">
        <v>465</v>
      </c>
      <c r="C164" s="354">
        <v>8978845025</v>
      </c>
      <c r="D164" s="355" t="s">
        <v>247</v>
      </c>
      <c r="E164" s="356">
        <v>45320</v>
      </c>
      <c r="F164" s="370" t="s">
        <v>476</v>
      </c>
      <c r="G164" s="370"/>
      <c r="H164" s="370"/>
      <c r="I164" s="356">
        <v>45300</v>
      </c>
      <c r="J164" s="356">
        <v>45300</v>
      </c>
      <c r="K164" s="354"/>
    </row>
    <row r="165" spans="1:11">
      <c r="A165" s="353">
        <v>163</v>
      </c>
      <c r="B165" s="354" t="s">
        <v>465</v>
      </c>
      <c r="C165" s="354">
        <v>7551885292</v>
      </c>
      <c r="D165" s="355" t="s">
        <v>257</v>
      </c>
      <c r="E165" s="356">
        <v>45327</v>
      </c>
      <c r="F165" s="370" t="s">
        <v>476</v>
      </c>
      <c r="G165" s="370"/>
      <c r="H165" s="370"/>
      <c r="I165" s="356">
        <v>45308</v>
      </c>
      <c r="J165" s="356">
        <v>45308</v>
      </c>
      <c r="K165" s="354"/>
    </row>
    <row r="166" spans="1:11">
      <c r="A166" s="353">
        <v>164</v>
      </c>
      <c r="B166" s="354" t="s">
        <v>465</v>
      </c>
      <c r="C166" s="354">
        <v>7551885842</v>
      </c>
      <c r="D166" s="355" t="s">
        <v>257</v>
      </c>
      <c r="E166" s="356">
        <v>45327</v>
      </c>
      <c r="F166" s="370" t="s">
        <v>476</v>
      </c>
      <c r="G166" s="370"/>
      <c r="H166" s="370"/>
      <c r="I166" s="356">
        <v>45308</v>
      </c>
      <c r="J166" s="356">
        <v>45308</v>
      </c>
      <c r="K166" s="354"/>
    </row>
    <row r="167" spans="1:11">
      <c r="A167" s="353">
        <v>165</v>
      </c>
      <c r="B167" s="354" t="s">
        <v>465</v>
      </c>
      <c r="C167" s="354">
        <v>7552078680</v>
      </c>
      <c r="D167" s="355" t="s">
        <v>276</v>
      </c>
      <c r="E167" s="356">
        <v>45327</v>
      </c>
      <c r="F167" s="370" t="s">
        <v>476</v>
      </c>
      <c r="G167" s="370"/>
      <c r="H167" s="370"/>
      <c r="I167" s="356">
        <v>45307</v>
      </c>
      <c r="J167" s="356">
        <v>45307</v>
      </c>
      <c r="K167" s="354"/>
    </row>
    <row r="168" spans="1:11">
      <c r="A168" s="353">
        <v>166</v>
      </c>
      <c r="B168" s="354" t="s">
        <v>467</v>
      </c>
      <c r="C168" s="354">
        <v>8977917481</v>
      </c>
      <c r="D168" s="355" t="s">
        <v>298</v>
      </c>
      <c r="E168" s="356">
        <v>45327</v>
      </c>
      <c r="F168" s="370" t="s">
        <v>476</v>
      </c>
      <c r="G168" s="370"/>
      <c r="H168" s="370"/>
      <c r="I168" s="356">
        <v>45320</v>
      </c>
      <c r="J168" s="356">
        <v>45320</v>
      </c>
      <c r="K168" s="354"/>
    </row>
    <row r="169" spans="1:11">
      <c r="A169" s="353">
        <v>167</v>
      </c>
      <c r="B169" s="354" t="s">
        <v>465</v>
      </c>
      <c r="C169" s="354">
        <v>7551885682</v>
      </c>
      <c r="D169" s="355" t="s">
        <v>257</v>
      </c>
      <c r="E169" s="356">
        <v>45334</v>
      </c>
      <c r="F169" s="370" t="s">
        <v>476</v>
      </c>
      <c r="G169" s="370"/>
      <c r="H169" s="370"/>
      <c r="I169" s="356">
        <v>45321</v>
      </c>
      <c r="J169" s="356">
        <v>45321</v>
      </c>
      <c r="K169" s="354"/>
    </row>
    <row r="170" spans="1:11">
      <c r="A170" s="353">
        <v>168</v>
      </c>
      <c r="B170" s="354" t="s">
        <v>465</v>
      </c>
      <c r="C170" s="354">
        <v>7552078190</v>
      </c>
      <c r="D170" s="355" t="s">
        <v>275</v>
      </c>
      <c r="E170" s="356">
        <v>45334</v>
      </c>
      <c r="F170" s="370" t="s">
        <v>476</v>
      </c>
      <c r="G170" s="370"/>
      <c r="H170" s="370"/>
      <c r="I170" s="356">
        <v>45321</v>
      </c>
      <c r="J170" s="356">
        <v>45321</v>
      </c>
      <c r="K170" s="354"/>
    </row>
    <row r="171" spans="1:11">
      <c r="A171" s="353">
        <v>169</v>
      </c>
      <c r="B171" s="354" t="s">
        <v>465</v>
      </c>
      <c r="C171" s="354">
        <v>7552078470</v>
      </c>
      <c r="D171" s="355" t="s">
        <v>477</v>
      </c>
      <c r="E171" s="356">
        <v>45334</v>
      </c>
      <c r="F171" s="370" t="s">
        <v>476</v>
      </c>
      <c r="G171" s="370"/>
      <c r="H171" s="370"/>
      <c r="I171" s="356">
        <v>45320</v>
      </c>
      <c r="J171" s="356">
        <v>45321</v>
      </c>
      <c r="K171" s="354" t="s">
        <v>478</v>
      </c>
    </row>
    <row r="172" spans="1:11">
      <c r="A172" s="353">
        <v>170</v>
      </c>
      <c r="B172" s="354" t="s">
        <v>465</v>
      </c>
      <c r="C172" s="354">
        <v>8977943153</v>
      </c>
      <c r="D172" s="355" t="s">
        <v>245</v>
      </c>
      <c r="E172" s="356">
        <v>45334</v>
      </c>
      <c r="F172" s="370" t="s">
        <v>476</v>
      </c>
      <c r="G172" s="370"/>
      <c r="H172" s="370"/>
      <c r="I172" s="356">
        <v>45321</v>
      </c>
      <c r="J172" s="356">
        <v>45321</v>
      </c>
      <c r="K172" s="354"/>
    </row>
    <row r="173" spans="1:11">
      <c r="A173" s="353">
        <v>171</v>
      </c>
      <c r="B173" s="354" t="s">
        <v>465</v>
      </c>
      <c r="C173" s="354" t="s">
        <v>479</v>
      </c>
      <c r="D173" s="355" t="s">
        <v>480</v>
      </c>
      <c r="E173" s="356">
        <v>45336</v>
      </c>
      <c r="F173" s="370" t="s">
        <v>476</v>
      </c>
      <c r="G173" s="370"/>
      <c r="H173" s="370"/>
      <c r="I173" s="356">
        <v>45328</v>
      </c>
      <c r="J173" s="356" t="s">
        <v>481</v>
      </c>
      <c r="K173" s="354"/>
    </row>
    <row r="174" spans="1:11">
      <c r="A174" s="353">
        <v>172</v>
      </c>
      <c r="B174" s="354" t="s">
        <v>465</v>
      </c>
      <c r="C174" s="354" t="s">
        <v>482</v>
      </c>
      <c r="D174" s="355" t="s">
        <v>480</v>
      </c>
      <c r="E174" s="356">
        <v>45336</v>
      </c>
      <c r="F174" s="370" t="s">
        <v>476</v>
      </c>
      <c r="G174" s="370"/>
      <c r="H174" s="370"/>
      <c r="I174" s="356">
        <v>45328</v>
      </c>
      <c r="J174" s="356" t="s">
        <v>481</v>
      </c>
      <c r="K174" s="354"/>
    </row>
    <row r="175" spans="1:11">
      <c r="A175" s="353">
        <v>173</v>
      </c>
      <c r="B175" s="354" t="s">
        <v>465</v>
      </c>
      <c r="C175" s="354">
        <v>7551910080</v>
      </c>
      <c r="D175" s="355" t="s">
        <v>245</v>
      </c>
      <c r="E175" s="356">
        <v>45341</v>
      </c>
      <c r="F175" s="370" t="s">
        <v>476</v>
      </c>
      <c r="G175" s="370"/>
      <c r="H175" s="370"/>
      <c r="I175" s="356">
        <v>45322</v>
      </c>
      <c r="J175" s="356">
        <v>45322</v>
      </c>
      <c r="K175" s="354"/>
    </row>
    <row r="176" spans="1:11">
      <c r="A176" s="353">
        <v>174</v>
      </c>
      <c r="B176" s="354" t="s">
        <v>465</v>
      </c>
      <c r="C176" s="354">
        <v>7552078460</v>
      </c>
      <c r="D176" s="355" t="s">
        <v>477</v>
      </c>
      <c r="E176" s="356">
        <v>45341</v>
      </c>
      <c r="F176" s="370" t="s">
        <v>476</v>
      </c>
      <c r="G176" s="370"/>
      <c r="H176" s="370"/>
      <c r="I176" s="356">
        <v>45322</v>
      </c>
      <c r="J176" s="356">
        <v>45322</v>
      </c>
      <c r="K176" s="354"/>
    </row>
    <row r="177" spans="1:11">
      <c r="A177" s="353">
        <v>175</v>
      </c>
      <c r="B177" s="354" t="s">
        <v>467</v>
      </c>
      <c r="C177" s="354">
        <v>8972416603</v>
      </c>
      <c r="D177" s="355" t="s">
        <v>257</v>
      </c>
      <c r="E177" s="356">
        <v>45341</v>
      </c>
      <c r="F177" s="370" t="s">
        <v>476</v>
      </c>
      <c r="G177" s="370"/>
      <c r="H177" s="370"/>
      <c r="I177" s="356">
        <v>45322</v>
      </c>
      <c r="J177" s="356">
        <v>45322</v>
      </c>
      <c r="K177" s="354"/>
    </row>
    <row r="178" spans="1:11">
      <c r="A178" s="353">
        <v>176</v>
      </c>
      <c r="B178" s="354" t="s">
        <v>465</v>
      </c>
      <c r="C178" s="354">
        <v>8977943244</v>
      </c>
      <c r="D178" s="355" t="s">
        <v>483</v>
      </c>
      <c r="E178" s="356">
        <v>45341</v>
      </c>
      <c r="F178" s="370" t="s">
        <v>476</v>
      </c>
      <c r="G178" s="370"/>
      <c r="H178" s="370"/>
      <c r="I178" s="356">
        <v>45329</v>
      </c>
      <c r="J178" s="356">
        <v>45331</v>
      </c>
      <c r="K178" s="354"/>
    </row>
    <row r="179" spans="1:11">
      <c r="A179" s="353">
        <v>177</v>
      </c>
      <c r="B179" s="354" t="s">
        <v>465</v>
      </c>
      <c r="C179" s="354">
        <v>8978794413</v>
      </c>
      <c r="D179" s="355" t="s">
        <v>257</v>
      </c>
      <c r="E179" s="356">
        <v>45341</v>
      </c>
      <c r="F179" s="370" t="s">
        <v>476</v>
      </c>
      <c r="G179" s="370"/>
      <c r="H179" s="370"/>
      <c r="I179" s="356">
        <v>45322</v>
      </c>
      <c r="J179" s="356">
        <v>45322</v>
      </c>
      <c r="K179" s="354"/>
    </row>
    <row r="180" spans="1:11">
      <c r="A180" s="353">
        <v>178</v>
      </c>
      <c r="B180" s="354" t="s">
        <v>465</v>
      </c>
      <c r="C180" s="354">
        <v>8978794743</v>
      </c>
      <c r="D180" s="355" t="s">
        <v>257</v>
      </c>
      <c r="E180" s="356">
        <v>45341</v>
      </c>
      <c r="F180" s="370" t="s">
        <v>476</v>
      </c>
      <c r="G180" s="370"/>
      <c r="H180" s="370"/>
      <c r="I180" s="356">
        <v>45329</v>
      </c>
      <c r="J180" s="356">
        <v>45329</v>
      </c>
      <c r="K180" s="354"/>
    </row>
    <row r="181" spans="1:11">
      <c r="A181" s="353">
        <v>179</v>
      </c>
      <c r="B181" s="354" t="s">
        <v>465</v>
      </c>
      <c r="C181" s="354">
        <v>7551885352</v>
      </c>
      <c r="D181" s="372" t="s">
        <v>257</v>
      </c>
      <c r="E181" s="356">
        <v>45348</v>
      </c>
      <c r="F181" s="370" t="s">
        <v>476</v>
      </c>
      <c r="G181" s="370"/>
      <c r="H181" s="370"/>
      <c r="I181" s="356">
        <v>45335</v>
      </c>
      <c r="J181" s="356">
        <v>45335</v>
      </c>
      <c r="K181" s="354"/>
    </row>
    <row r="182" spans="1:11">
      <c r="A182" s="353">
        <v>180</v>
      </c>
      <c r="B182" s="354" t="s">
        <v>465</v>
      </c>
      <c r="C182" s="354">
        <v>8978794913</v>
      </c>
      <c r="D182" s="372" t="s">
        <v>257</v>
      </c>
      <c r="E182" s="356">
        <v>45348</v>
      </c>
      <c r="F182" s="370" t="s">
        <v>476</v>
      </c>
      <c r="G182" s="370"/>
      <c r="H182" s="370"/>
      <c r="I182" s="356">
        <v>45335</v>
      </c>
      <c r="J182" s="356">
        <v>45335</v>
      </c>
      <c r="K182" s="354"/>
    </row>
    <row r="183" spans="1:11">
      <c r="A183" s="353">
        <v>181</v>
      </c>
      <c r="B183" s="354" t="s">
        <v>465</v>
      </c>
      <c r="C183" s="354">
        <v>7551885262</v>
      </c>
      <c r="D183" s="355" t="s">
        <v>257</v>
      </c>
      <c r="E183" s="356">
        <v>45355</v>
      </c>
      <c r="F183" s="370" t="s">
        <v>476</v>
      </c>
      <c r="G183" s="370"/>
      <c r="H183" s="370"/>
      <c r="I183" s="356">
        <v>45342</v>
      </c>
      <c r="J183" s="356">
        <v>45342</v>
      </c>
      <c r="K183" s="354"/>
    </row>
    <row r="184" spans="1:11">
      <c r="A184" s="353">
        <v>182</v>
      </c>
      <c r="B184" s="354" t="s">
        <v>465</v>
      </c>
      <c r="C184" s="354">
        <v>7551885302</v>
      </c>
      <c r="D184" s="355" t="s">
        <v>257</v>
      </c>
      <c r="E184" s="356">
        <v>45355</v>
      </c>
      <c r="F184" s="370" t="s">
        <v>476</v>
      </c>
      <c r="G184" s="370"/>
      <c r="H184" s="370"/>
      <c r="I184" s="356">
        <v>45342</v>
      </c>
      <c r="J184" s="356">
        <v>45342</v>
      </c>
      <c r="K184" s="354"/>
    </row>
    <row r="185" spans="1:11">
      <c r="A185" s="353">
        <v>183</v>
      </c>
      <c r="B185" s="354" t="s">
        <v>465</v>
      </c>
      <c r="C185" s="354">
        <v>7551909172</v>
      </c>
      <c r="D185" s="355" t="s">
        <v>245</v>
      </c>
      <c r="E185" s="356">
        <v>45355</v>
      </c>
      <c r="F185" s="370" t="s">
        <v>476</v>
      </c>
      <c r="G185" s="370"/>
      <c r="H185" s="370"/>
      <c r="I185" s="356">
        <v>45342</v>
      </c>
      <c r="J185" s="356">
        <v>45342</v>
      </c>
      <c r="K185" s="354"/>
    </row>
    <row r="186" spans="1:11">
      <c r="A186" s="353">
        <v>184</v>
      </c>
      <c r="B186" s="354" t="s">
        <v>465</v>
      </c>
      <c r="C186" s="354">
        <v>7551909891</v>
      </c>
      <c r="D186" s="355" t="s">
        <v>247</v>
      </c>
      <c r="E186" s="356">
        <v>45362</v>
      </c>
      <c r="F186" s="370" t="s">
        <v>476</v>
      </c>
      <c r="G186" s="370"/>
      <c r="H186" s="370"/>
      <c r="I186" s="356">
        <v>45362</v>
      </c>
      <c r="J186" s="356">
        <v>45351</v>
      </c>
      <c r="K186" s="354"/>
    </row>
    <row r="187" spans="1:11">
      <c r="A187" s="353">
        <v>185</v>
      </c>
      <c r="B187" s="354" t="s">
        <v>465</v>
      </c>
      <c r="C187" s="354">
        <v>7552078251</v>
      </c>
      <c r="D187" s="355" t="s">
        <v>278</v>
      </c>
      <c r="E187" s="356">
        <v>45362</v>
      </c>
      <c r="F187" s="370" t="s">
        <v>476</v>
      </c>
      <c r="G187" s="370"/>
      <c r="H187" s="370"/>
      <c r="I187" s="356">
        <v>45342</v>
      </c>
      <c r="J187" s="356">
        <v>45342</v>
      </c>
      <c r="K187" s="354"/>
    </row>
    <row r="188" spans="1:11">
      <c r="A188" s="353">
        <v>186</v>
      </c>
      <c r="B188" s="354" t="s">
        <v>465</v>
      </c>
      <c r="C188" s="354">
        <v>7552078261</v>
      </c>
      <c r="D188" s="355" t="s">
        <v>278</v>
      </c>
      <c r="E188" s="356">
        <v>45362</v>
      </c>
      <c r="F188" s="370" t="s">
        <v>476</v>
      </c>
      <c r="G188" s="370"/>
      <c r="H188" s="370"/>
      <c r="I188" s="356">
        <v>45342</v>
      </c>
      <c r="J188" s="356">
        <v>45342</v>
      </c>
      <c r="K188" s="354"/>
    </row>
    <row r="189" spans="1:11">
      <c r="A189" s="353">
        <v>187</v>
      </c>
      <c r="B189" s="354" t="s">
        <v>467</v>
      </c>
      <c r="C189" s="354">
        <v>8972416592</v>
      </c>
      <c r="D189" s="355" t="s">
        <v>257</v>
      </c>
      <c r="E189" s="356">
        <v>45362</v>
      </c>
      <c r="F189" s="370" t="s">
        <v>476</v>
      </c>
      <c r="G189" s="370"/>
      <c r="H189" s="370"/>
      <c r="I189" s="356">
        <v>45342</v>
      </c>
      <c r="J189" s="356">
        <v>45342</v>
      </c>
      <c r="K189" s="354"/>
    </row>
    <row r="190" spans="1:11">
      <c r="A190" s="353">
        <v>188</v>
      </c>
      <c r="B190" s="354" t="s">
        <v>467</v>
      </c>
      <c r="C190" s="354">
        <v>8975249730</v>
      </c>
      <c r="D190" s="355" t="s">
        <v>6</v>
      </c>
      <c r="E190" s="356">
        <v>45362</v>
      </c>
      <c r="F190" s="370" t="s">
        <v>476</v>
      </c>
      <c r="G190" s="370"/>
      <c r="H190" s="370"/>
      <c r="I190" s="356">
        <v>45342</v>
      </c>
      <c r="J190" s="356">
        <v>45342</v>
      </c>
      <c r="K190" s="354"/>
    </row>
    <row r="191" spans="1:11">
      <c r="A191" s="353">
        <v>189</v>
      </c>
      <c r="B191" s="354" t="s">
        <v>465</v>
      </c>
      <c r="C191" s="354">
        <v>8977943453</v>
      </c>
      <c r="D191" s="355" t="s">
        <v>247</v>
      </c>
      <c r="E191" s="356">
        <v>45362</v>
      </c>
      <c r="F191" s="370" t="s">
        <v>476</v>
      </c>
      <c r="G191" s="370"/>
      <c r="H191" s="370"/>
      <c r="I191" s="356">
        <v>45342</v>
      </c>
      <c r="J191" s="356">
        <v>45342</v>
      </c>
      <c r="K191" s="354"/>
    </row>
    <row r="192" spans="1:11">
      <c r="A192" s="353">
        <v>190</v>
      </c>
      <c r="B192" s="354" t="s">
        <v>465</v>
      </c>
      <c r="C192" s="354">
        <v>8978843362</v>
      </c>
      <c r="D192" s="355" t="s">
        <v>245</v>
      </c>
      <c r="E192" s="356">
        <v>45362</v>
      </c>
      <c r="F192" s="370" t="s">
        <v>476</v>
      </c>
      <c r="G192" s="370"/>
      <c r="H192" s="370"/>
      <c r="I192" s="356">
        <v>45342</v>
      </c>
      <c r="J192" s="356">
        <v>45342</v>
      </c>
      <c r="K192" s="354"/>
    </row>
    <row r="193" spans="1:11">
      <c r="A193" s="353">
        <v>191</v>
      </c>
      <c r="B193" s="354" t="s">
        <v>465</v>
      </c>
      <c r="C193" s="354">
        <v>8978820134</v>
      </c>
      <c r="D193" s="355" t="s">
        <v>283</v>
      </c>
      <c r="E193" s="356">
        <v>45369</v>
      </c>
      <c r="F193" s="370" t="s">
        <v>476</v>
      </c>
      <c r="G193" s="370"/>
      <c r="H193" s="370"/>
      <c r="I193" s="356">
        <v>45356</v>
      </c>
      <c r="J193" s="356">
        <v>45356</v>
      </c>
      <c r="K193" s="354"/>
    </row>
    <row r="194" spans="1:11">
      <c r="A194" s="353">
        <v>192</v>
      </c>
      <c r="B194" s="354" t="s">
        <v>465</v>
      </c>
      <c r="C194" s="354">
        <v>8978312991</v>
      </c>
      <c r="D194" s="355" t="s">
        <v>11</v>
      </c>
      <c r="E194" s="356">
        <v>45376</v>
      </c>
      <c r="F194" s="370" t="s">
        <v>476</v>
      </c>
      <c r="G194" s="370"/>
      <c r="H194" s="370"/>
      <c r="I194" s="356">
        <v>45357</v>
      </c>
      <c r="J194" s="356">
        <v>45357</v>
      </c>
      <c r="K194" s="354"/>
    </row>
    <row r="195" spans="1:11">
      <c r="A195" s="353">
        <v>193</v>
      </c>
      <c r="B195" s="354" t="s">
        <v>465</v>
      </c>
      <c r="C195" s="354">
        <v>8978313052</v>
      </c>
      <c r="D195" s="355" t="s">
        <v>11</v>
      </c>
      <c r="E195" s="356">
        <v>45376</v>
      </c>
      <c r="F195" s="370" t="s">
        <v>476</v>
      </c>
      <c r="G195" s="370"/>
      <c r="H195" s="370"/>
      <c r="I195" s="356">
        <v>45357</v>
      </c>
      <c r="J195" s="356">
        <v>45357</v>
      </c>
      <c r="K195" s="354"/>
    </row>
    <row r="196" spans="1:11">
      <c r="A196" s="378">
        <v>194</v>
      </c>
      <c r="B196" s="379" t="s">
        <v>484</v>
      </c>
      <c r="C196" s="379">
        <v>8978408254</v>
      </c>
      <c r="D196" s="380" t="s">
        <v>296</v>
      </c>
      <c r="E196" s="376">
        <v>45376</v>
      </c>
      <c r="F196" s="374" t="s">
        <v>476</v>
      </c>
      <c r="G196" s="374"/>
      <c r="H196" s="374"/>
      <c r="I196" s="376">
        <v>45359</v>
      </c>
      <c r="J196" s="376">
        <v>45359</v>
      </c>
      <c r="K196" s="379"/>
    </row>
    <row r="197" spans="1:11">
      <c r="A197" s="353">
        <v>195</v>
      </c>
      <c r="B197" s="354" t="s">
        <v>484</v>
      </c>
      <c r="C197" s="354">
        <v>8978431090</v>
      </c>
      <c r="D197" s="355" t="s">
        <v>289</v>
      </c>
      <c r="E197" s="356">
        <v>45376</v>
      </c>
      <c r="F197" s="370" t="s">
        <v>476</v>
      </c>
      <c r="G197" s="370"/>
      <c r="H197" s="370"/>
      <c r="I197" s="356">
        <v>45359</v>
      </c>
      <c r="J197" s="356">
        <v>45359</v>
      </c>
      <c r="K197" s="354"/>
    </row>
    <row r="198" spans="1:11">
      <c r="A198" s="353">
        <v>196</v>
      </c>
      <c r="B198" s="354" t="s">
        <v>484</v>
      </c>
      <c r="C198" s="354">
        <v>7551954812</v>
      </c>
      <c r="D198" s="355" t="s">
        <v>283</v>
      </c>
      <c r="E198" s="356">
        <v>45383</v>
      </c>
      <c r="F198" s="370" t="s">
        <v>476</v>
      </c>
      <c r="G198" s="370"/>
      <c r="H198" s="370"/>
      <c r="I198" s="356">
        <v>45371</v>
      </c>
      <c r="J198" s="356">
        <v>45371</v>
      </c>
      <c r="K198" s="354"/>
    </row>
    <row r="199" spans="1:11">
      <c r="A199" s="353">
        <v>197</v>
      </c>
      <c r="B199" s="354" t="s">
        <v>484</v>
      </c>
      <c r="C199" s="354">
        <v>7552187430</v>
      </c>
      <c r="D199" s="355" t="s">
        <v>298</v>
      </c>
      <c r="E199" s="356">
        <v>45383</v>
      </c>
      <c r="F199" s="370" t="s">
        <v>476</v>
      </c>
      <c r="G199" s="370"/>
      <c r="H199" s="370"/>
      <c r="I199" s="356">
        <v>45371</v>
      </c>
      <c r="J199" s="356">
        <v>45371</v>
      </c>
      <c r="K199" s="354"/>
    </row>
    <row r="200" spans="1:11">
      <c r="A200" s="353">
        <v>198</v>
      </c>
      <c r="B200" s="354" t="s">
        <v>484</v>
      </c>
      <c r="C200" s="369">
        <v>8977917730</v>
      </c>
      <c r="D200" s="372" t="s">
        <v>289</v>
      </c>
      <c r="E200" s="356">
        <v>45397</v>
      </c>
      <c r="F200" s="370" t="s">
        <v>476</v>
      </c>
      <c r="G200" s="370"/>
      <c r="H200" s="370"/>
      <c r="I200" s="356">
        <v>45379</v>
      </c>
      <c r="J200" s="356">
        <v>45379</v>
      </c>
      <c r="K200" s="354"/>
    </row>
    <row r="201" spans="1:11">
      <c r="A201" s="353">
        <v>199</v>
      </c>
      <c r="B201" s="354" t="s">
        <v>465</v>
      </c>
      <c r="C201" s="369">
        <v>8978363713</v>
      </c>
      <c r="D201" s="355" t="s">
        <v>245</v>
      </c>
      <c r="E201" s="356">
        <v>45397</v>
      </c>
      <c r="F201" s="370" t="s">
        <v>485</v>
      </c>
      <c r="G201" s="370"/>
      <c r="H201" s="370"/>
      <c r="I201" s="356">
        <v>45378</v>
      </c>
      <c r="J201" s="356">
        <v>45379</v>
      </c>
      <c r="K201" s="354"/>
    </row>
    <row r="202" spans="1:11">
      <c r="A202" s="353">
        <v>200</v>
      </c>
      <c r="B202" s="354" t="s">
        <v>484</v>
      </c>
      <c r="C202" s="354">
        <v>8977917640</v>
      </c>
      <c r="D202" s="355" t="s">
        <v>12</v>
      </c>
      <c r="E202" s="356">
        <v>45404</v>
      </c>
      <c r="F202" s="370" t="s">
        <v>476</v>
      </c>
      <c r="G202" s="370"/>
      <c r="H202" s="370"/>
      <c r="I202" s="356">
        <v>45379</v>
      </c>
      <c r="J202" s="356">
        <v>45379</v>
      </c>
      <c r="K202" s="354"/>
    </row>
    <row r="203" spans="1:11">
      <c r="A203" s="353">
        <v>201</v>
      </c>
      <c r="B203" s="354" t="s">
        <v>465</v>
      </c>
      <c r="C203" s="369">
        <v>8978794933</v>
      </c>
      <c r="D203" s="355" t="s">
        <v>257</v>
      </c>
      <c r="E203" s="356">
        <v>45404</v>
      </c>
      <c r="F203" s="370" t="s">
        <v>476</v>
      </c>
      <c r="G203" s="370"/>
      <c r="H203" s="370"/>
      <c r="I203" s="356">
        <v>45379</v>
      </c>
      <c r="J203" s="356">
        <v>45379</v>
      </c>
      <c r="K203" s="354"/>
    </row>
    <row r="204" spans="1:11">
      <c r="A204" s="353">
        <v>202</v>
      </c>
      <c r="B204" s="354" t="s">
        <v>465</v>
      </c>
      <c r="C204" s="354">
        <v>7552078450</v>
      </c>
      <c r="D204" s="355" t="s">
        <v>275</v>
      </c>
      <c r="E204" s="356">
        <v>45418</v>
      </c>
      <c r="F204" s="370" t="s">
        <v>476</v>
      </c>
      <c r="G204" s="370"/>
      <c r="H204" s="370"/>
      <c r="I204" s="356">
        <v>45393</v>
      </c>
      <c r="J204" s="356">
        <v>45393</v>
      </c>
      <c r="K204" s="354"/>
    </row>
    <row r="205" spans="1:11">
      <c r="A205" s="353">
        <v>203</v>
      </c>
      <c r="B205" s="354" t="s">
        <v>465</v>
      </c>
      <c r="C205" s="369">
        <v>8978794824</v>
      </c>
      <c r="D205" s="355" t="s">
        <v>257</v>
      </c>
      <c r="E205" s="356">
        <v>45418</v>
      </c>
      <c r="F205" s="370" t="s">
        <v>485</v>
      </c>
      <c r="G205" s="370"/>
      <c r="H205" s="370"/>
      <c r="I205" s="356">
        <v>45393</v>
      </c>
      <c r="J205" s="356">
        <v>45393</v>
      </c>
      <c r="K205" s="354"/>
    </row>
    <row r="206" spans="1:11">
      <c r="A206" s="353">
        <v>204</v>
      </c>
      <c r="B206" s="354" t="s">
        <v>465</v>
      </c>
      <c r="C206" s="354">
        <v>8977944063</v>
      </c>
      <c r="D206" s="355" t="s">
        <v>247</v>
      </c>
      <c r="E206" s="356">
        <v>45425</v>
      </c>
      <c r="F206" s="370" t="s">
        <v>476</v>
      </c>
      <c r="G206" s="370"/>
      <c r="H206" s="370"/>
      <c r="I206" s="356">
        <v>45407</v>
      </c>
      <c r="J206" s="356">
        <v>45407</v>
      </c>
      <c r="K206" s="354"/>
    </row>
    <row r="207" spans="1:11">
      <c r="A207" s="353">
        <v>205</v>
      </c>
      <c r="B207" s="354" t="s">
        <v>465</v>
      </c>
      <c r="C207" s="354">
        <v>8978767432</v>
      </c>
      <c r="D207" s="355" t="s">
        <v>245</v>
      </c>
      <c r="E207" s="356">
        <v>45425</v>
      </c>
      <c r="F207" s="370" t="s">
        <v>476</v>
      </c>
      <c r="G207" s="370"/>
      <c r="H207" s="370"/>
      <c r="I207" s="356">
        <v>45400</v>
      </c>
      <c r="J207" s="356">
        <v>45407</v>
      </c>
      <c r="K207" s="354"/>
    </row>
    <row r="208" spans="1:11">
      <c r="A208" s="353">
        <v>206</v>
      </c>
      <c r="B208" s="354" t="s">
        <v>486</v>
      </c>
      <c r="C208" s="354" t="s">
        <v>487</v>
      </c>
      <c r="D208" s="355" t="s">
        <v>488</v>
      </c>
      <c r="E208" s="356">
        <v>45425</v>
      </c>
      <c r="F208" s="370" t="s">
        <v>476</v>
      </c>
      <c r="G208" s="370"/>
      <c r="H208" s="370"/>
      <c r="I208" s="356">
        <v>45407</v>
      </c>
      <c r="J208" s="356" t="s">
        <v>470</v>
      </c>
      <c r="K208" s="354"/>
    </row>
    <row r="209" spans="1:11">
      <c r="A209" s="353">
        <v>207</v>
      </c>
      <c r="B209" s="354" t="s">
        <v>484</v>
      </c>
      <c r="C209" s="354">
        <v>7552165172</v>
      </c>
      <c r="D209" s="355"/>
      <c r="E209" s="356">
        <v>45429</v>
      </c>
      <c r="F209" s="370" t="s">
        <v>476</v>
      </c>
      <c r="G209" s="370"/>
      <c r="H209" s="370"/>
      <c r="I209" s="356">
        <v>45434</v>
      </c>
      <c r="J209" s="356">
        <v>45435</v>
      </c>
      <c r="K209" s="354"/>
    </row>
    <row r="210" spans="1:11">
      <c r="A210" s="353">
        <v>208</v>
      </c>
      <c r="B210" s="354" t="s">
        <v>484</v>
      </c>
      <c r="C210" s="354">
        <v>7552166022</v>
      </c>
      <c r="D210" s="355"/>
      <c r="E210" s="356">
        <v>45429</v>
      </c>
      <c r="F210" s="370" t="s">
        <v>476</v>
      </c>
      <c r="G210" s="370"/>
      <c r="H210" s="370"/>
      <c r="I210" s="356">
        <v>45434</v>
      </c>
      <c r="J210" s="356">
        <v>45435</v>
      </c>
      <c r="K210" s="354"/>
    </row>
    <row r="211" spans="1:11">
      <c r="A211" s="374">
        <v>209</v>
      </c>
      <c r="B211" s="375" t="s">
        <v>489</v>
      </c>
      <c r="C211" s="375" t="s">
        <v>490</v>
      </c>
      <c r="D211" s="375" t="s">
        <v>491</v>
      </c>
      <c r="E211" s="376">
        <v>45429</v>
      </c>
      <c r="F211" s="377" t="s">
        <v>476</v>
      </c>
      <c r="G211" s="378"/>
      <c r="H211" s="378"/>
      <c r="I211" s="376" t="s">
        <v>470</v>
      </c>
      <c r="J211" s="376" t="s">
        <v>470</v>
      </c>
      <c r="K211" s="379"/>
    </row>
    <row r="212" spans="1:11">
      <c r="A212" s="353">
        <v>210</v>
      </c>
      <c r="B212" s="354" t="s">
        <v>465</v>
      </c>
      <c r="C212" s="354">
        <v>7552078230</v>
      </c>
      <c r="D212" s="355" t="s">
        <v>278</v>
      </c>
      <c r="E212" s="356">
        <v>45432</v>
      </c>
      <c r="F212" s="370" t="s">
        <v>476</v>
      </c>
      <c r="G212" s="370"/>
      <c r="H212" s="370"/>
      <c r="I212" s="356">
        <v>45426</v>
      </c>
      <c r="J212" s="356">
        <v>45426</v>
      </c>
      <c r="K212" s="354"/>
    </row>
    <row r="213" spans="1:11">
      <c r="A213" s="353">
        <v>211</v>
      </c>
      <c r="B213" s="354" t="s">
        <v>465</v>
      </c>
      <c r="C213" s="354">
        <v>7552078431</v>
      </c>
      <c r="D213" s="355" t="s">
        <v>275</v>
      </c>
      <c r="E213" s="356">
        <v>45432</v>
      </c>
      <c r="F213" s="370" t="s">
        <v>476</v>
      </c>
      <c r="G213" s="370"/>
      <c r="H213" s="370"/>
      <c r="I213" s="356">
        <v>45426</v>
      </c>
      <c r="J213" s="356">
        <v>45426</v>
      </c>
      <c r="K213" s="354"/>
    </row>
    <row r="214" spans="1:11">
      <c r="A214" s="353">
        <v>212</v>
      </c>
      <c r="B214" s="354" t="s">
        <v>465</v>
      </c>
      <c r="C214" s="354">
        <v>7552078710</v>
      </c>
      <c r="D214" s="355" t="s">
        <v>276</v>
      </c>
      <c r="E214" s="356">
        <v>45432</v>
      </c>
      <c r="F214" s="370" t="s">
        <v>476</v>
      </c>
      <c r="G214" s="370"/>
      <c r="H214" s="370"/>
      <c r="I214" s="356">
        <v>45426</v>
      </c>
      <c r="J214" s="356">
        <v>45426</v>
      </c>
      <c r="K214" s="354"/>
    </row>
    <row r="215" spans="1:11">
      <c r="A215" s="353">
        <v>213</v>
      </c>
      <c r="B215" s="354" t="s">
        <v>465</v>
      </c>
      <c r="C215" s="354">
        <v>7552078760</v>
      </c>
      <c r="D215" s="370" t="s">
        <v>276</v>
      </c>
      <c r="E215" s="356">
        <v>45432</v>
      </c>
      <c r="F215" s="370" t="s">
        <v>476</v>
      </c>
      <c r="G215" s="370"/>
      <c r="H215" s="370"/>
      <c r="I215" s="356">
        <v>45419</v>
      </c>
      <c r="J215" s="356">
        <v>45419</v>
      </c>
      <c r="K215" s="354"/>
    </row>
    <row r="216" spans="1:11">
      <c r="A216" s="374">
        <v>214</v>
      </c>
      <c r="B216" s="375" t="s">
        <v>492</v>
      </c>
      <c r="C216" s="375" t="s">
        <v>493</v>
      </c>
      <c r="D216" s="375" t="s">
        <v>494</v>
      </c>
      <c r="E216" s="376">
        <v>45435</v>
      </c>
      <c r="F216" s="377" t="s">
        <v>476</v>
      </c>
      <c r="G216" s="378"/>
      <c r="H216" s="378"/>
      <c r="I216" s="376" t="s">
        <v>470</v>
      </c>
      <c r="J216" s="376" t="s">
        <v>470</v>
      </c>
      <c r="K216" s="379"/>
    </row>
    <row r="217" spans="1:11">
      <c r="A217" s="353">
        <v>215</v>
      </c>
      <c r="B217" s="354" t="s">
        <v>465</v>
      </c>
      <c r="C217" s="354">
        <v>7551908970</v>
      </c>
      <c r="D217" s="355" t="s">
        <v>245</v>
      </c>
      <c r="E217" s="356">
        <v>45439</v>
      </c>
      <c r="F217" s="370" t="s">
        <v>476</v>
      </c>
      <c r="G217" s="370"/>
      <c r="H217" s="370"/>
      <c r="I217" s="356">
        <v>45434</v>
      </c>
      <c r="J217" s="356">
        <v>45435</v>
      </c>
      <c r="K217" s="354"/>
    </row>
    <row r="218" spans="1:11">
      <c r="A218" s="353">
        <v>216</v>
      </c>
      <c r="B218" s="354" t="s">
        <v>465</v>
      </c>
      <c r="C218" s="354">
        <v>7551909610</v>
      </c>
      <c r="D218" s="355" t="s">
        <v>245</v>
      </c>
      <c r="E218" s="356">
        <v>45439</v>
      </c>
      <c r="F218" s="370" t="s">
        <v>476</v>
      </c>
      <c r="G218" s="370"/>
      <c r="H218" s="370"/>
      <c r="I218" s="356">
        <v>45419</v>
      </c>
      <c r="J218" s="356">
        <v>45419</v>
      </c>
      <c r="K218" s="354"/>
    </row>
    <row r="219" spans="1:11">
      <c r="A219" s="353">
        <v>217</v>
      </c>
      <c r="B219" s="354" t="s">
        <v>465</v>
      </c>
      <c r="C219" s="354">
        <v>8972760091</v>
      </c>
      <c r="D219" s="355" t="s">
        <v>245</v>
      </c>
      <c r="E219" s="356">
        <v>45439</v>
      </c>
      <c r="F219" s="370" t="s">
        <v>476</v>
      </c>
      <c r="G219" s="370"/>
      <c r="H219" s="370"/>
      <c r="I219" s="356">
        <v>45419</v>
      </c>
      <c r="J219" s="356">
        <v>45419</v>
      </c>
      <c r="K219" s="354"/>
    </row>
    <row r="220" spans="1:11">
      <c r="A220" s="353">
        <v>218</v>
      </c>
      <c r="B220" s="354" t="s">
        <v>486</v>
      </c>
      <c r="C220" s="354" t="s">
        <v>495</v>
      </c>
      <c r="D220" s="355" t="s">
        <v>496</v>
      </c>
      <c r="E220" s="356">
        <v>45443</v>
      </c>
      <c r="F220" s="370" t="s">
        <v>476</v>
      </c>
      <c r="G220" s="370"/>
      <c r="H220" s="370"/>
      <c r="I220" s="356">
        <v>45408</v>
      </c>
      <c r="J220" s="356" t="s">
        <v>470</v>
      </c>
      <c r="K220" s="354"/>
    </row>
    <row r="221" spans="1:11">
      <c r="A221" s="353">
        <v>219</v>
      </c>
      <c r="B221" s="354" t="s">
        <v>497</v>
      </c>
      <c r="C221" s="354">
        <v>7551946001</v>
      </c>
      <c r="D221" s="355" t="s">
        <v>247</v>
      </c>
      <c r="E221" s="356">
        <v>45446</v>
      </c>
      <c r="F221" s="370" t="s">
        <v>476</v>
      </c>
      <c r="G221" s="370"/>
      <c r="H221" s="370"/>
      <c r="I221" s="356">
        <v>45435</v>
      </c>
      <c r="J221" s="356">
        <v>45435</v>
      </c>
      <c r="K221" s="354"/>
    </row>
    <row r="222" spans="1:11">
      <c r="A222" s="353">
        <v>220</v>
      </c>
      <c r="B222" s="354" t="s">
        <v>497</v>
      </c>
      <c r="C222" s="354">
        <v>7552127053</v>
      </c>
      <c r="D222" s="355" t="s">
        <v>257</v>
      </c>
      <c r="E222" s="356">
        <v>45446</v>
      </c>
      <c r="F222" s="370" t="s">
        <v>476</v>
      </c>
      <c r="G222" s="370"/>
      <c r="H222" s="370"/>
      <c r="I222" s="356">
        <v>45435</v>
      </c>
      <c r="J222" s="356">
        <v>20240523</v>
      </c>
      <c r="K222" s="354"/>
    </row>
    <row r="223" spans="1:11">
      <c r="A223" s="353">
        <v>221</v>
      </c>
      <c r="B223" s="354" t="s">
        <v>497</v>
      </c>
      <c r="C223" s="354">
        <v>7552127093</v>
      </c>
      <c r="D223" s="355" t="s">
        <v>257</v>
      </c>
      <c r="E223" s="356">
        <v>45446</v>
      </c>
      <c r="F223" s="370" t="s">
        <v>476</v>
      </c>
      <c r="G223" s="370"/>
      <c r="H223" s="370"/>
      <c r="I223" s="356">
        <v>45435</v>
      </c>
      <c r="J223" s="356">
        <v>20240523</v>
      </c>
      <c r="K223" s="354"/>
    </row>
    <row r="224" spans="1:11">
      <c r="A224" s="353">
        <v>222</v>
      </c>
      <c r="B224" s="354" t="s">
        <v>484</v>
      </c>
      <c r="C224" s="354">
        <v>7552165932</v>
      </c>
      <c r="D224" s="355" t="s">
        <v>13</v>
      </c>
      <c r="E224" s="356">
        <v>45446</v>
      </c>
      <c r="F224" s="370" t="s">
        <v>476</v>
      </c>
      <c r="G224" s="370"/>
      <c r="H224" s="370"/>
      <c r="I224" s="356">
        <v>45435</v>
      </c>
      <c r="J224" s="356">
        <v>20240523</v>
      </c>
      <c r="K224" s="354"/>
    </row>
    <row r="225" spans="1:11">
      <c r="A225" s="353">
        <v>223</v>
      </c>
      <c r="B225" s="354" t="s">
        <v>465</v>
      </c>
      <c r="C225" s="354">
        <v>8978312760</v>
      </c>
      <c r="D225" s="355" t="s">
        <v>11</v>
      </c>
      <c r="E225" s="356">
        <v>45446</v>
      </c>
      <c r="F225" s="370" t="s">
        <v>476</v>
      </c>
      <c r="G225" s="370"/>
      <c r="H225" s="370"/>
      <c r="I225" s="356">
        <v>45435</v>
      </c>
      <c r="J225" s="356">
        <v>45435</v>
      </c>
      <c r="K225" s="354"/>
    </row>
    <row r="226" spans="1:11">
      <c r="A226" s="353">
        <v>224</v>
      </c>
      <c r="B226" s="354" t="s">
        <v>497</v>
      </c>
      <c r="C226" s="354">
        <v>8978313071</v>
      </c>
      <c r="D226" s="355" t="s">
        <v>11</v>
      </c>
      <c r="E226" s="356">
        <v>45446</v>
      </c>
      <c r="F226" s="370"/>
      <c r="G226" s="370"/>
      <c r="H226" s="370"/>
      <c r="I226" s="356">
        <v>45435</v>
      </c>
      <c r="J226" s="356">
        <v>20240523</v>
      </c>
      <c r="K226" s="354"/>
    </row>
    <row r="227" spans="1:11">
      <c r="A227" s="353">
        <v>225</v>
      </c>
      <c r="B227" s="354" t="s">
        <v>484</v>
      </c>
      <c r="C227" s="354">
        <v>8978408020</v>
      </c>
      <c r="D227" s="355" t="s">
        <v>12</v>
      </c>
      <c r="E227" s="356">
        <v>45446</v>
      </c>
      <c r="F227" s="370" t="s">
        <v>476</v>
      </c>
      <c r="G227" s="370"/>
      <c r="H227" s="370"/>
      <c r="I227" s="356">
        <v>45435</v>
      </c>
      <c r="J227" s="356">
        <v>20240523</v>
      </c>
      <c r="K227" s="354"/>
    </row>
    <row r="228" spans="1:11">
      <c r="A228" s="353">
        <v>226</v>
      </c>
      <c r="B228" s="354" t="s">
        <v>465</v>
      </c>
      <c r="C228" s="354">
        <v>8978794573</v>
      </c>
      <c r="D228" s="355" t="s">
        <v>257</v>
      </c>
      <c r="E228" s="356">
        <v>45446</v>
      </c>
      <c r="F228" s="370" t="s">
        <v>476</v>
      </c>
      <c r="G228" s="370"/>
      <c r="H228" s="370"/>
      <c r="I228" s="356">
        <v>45434</v>
      </c>
      <c r="J228" s="356">
        <v>45435</v>
      </c>
      <c r="K228" s="354"/>
    </row>
    <row r="229" spans="1:11">
      <c r="A229" s="353">
        <v>227</v>
      </c>
      <c r="B229" s="354" t="s">
        <v>497</v>
      </c>
      <c r="C229" s="354">
        <v>7551910120</v>
      </c>
      <c r="D229" s="355" t="s">
        <v>245</v>
      </c>
      <c r="E229" s="356">
        <v>45453</v>
      </c>
      <c r="F229" s="370" t="s">
        <v>476</v>
      </c>
      <c r="G229" s="370"/>
      <c r="H229" s="370"/>
      <c r="I229" s="356">
        <v>45435</v>
      </c>
      <c r="J229" s="356">
        <v>45435</v>
      </c>
      <c r="K229" s="354"/>
    </row>
    <row r="230" spans="1:11">
      <c r="A230" s="353">
        <v>228</v>
      </c>
      <c r="B230" s="354" t="s">
        <v>497</v>
      </c>
      <c r="C230" s="354">
        <v>7551945962</v>
      </c>
      <c r="D230" s="355" t="s">
        <v>247</v>
      </c>
      <c r="E230" s="356">
        <v>45453</v>
      </c>
      <c r="F230" s="370" t="s">
        <v>476</v>
      </c>
      <c r="G230" s="370"/>
      <c r="H230" s="370"/>
      <c r="I230" s="356">
        <v>45439</v>
      </c>
      <c r="J230" s="356">
        <v>45439</v>
      </c>
      <c r="K230" s="354"/>
    </row>
    <row r="231" spans="1:11">
      <c r="A231" s="353">
        <v>229</v>
      </c>
      <c r="B231" s="354" t="s">
        <v>497</v>
      </c>
      <c r="C231" s="354">
        <v>7551946242</v>
      </c>
      <c r="D231" s="355" t="s">
        <v>247</v>
      </c>
      <c r="E231" s="356">
        <v>45453</v>
      </c>
      <c r="F231" s="370" t="s">
        <v>476</v>
      </c>
      <c r="G231" s="370"/>
      <c r="H231" s="370"/>
      <c r="I231" s="356">
        <v>45439</v>
      </c>
      <c r="J231" s="356">
        <v>45439</v>
      </c>
      <c r="K231" s="354"/>
    </row>
    <row r="232" spans="1:11" ht="18" customHeight="1">
      <c r="A232" s="353">
        <v>230</v>
      </c>
      <c r="B232" s="354" t="s">
        <v>497</v>
      </c>
      <c r="C232" s="354">
        <v>7552378500</v>
      </c>
      <c r="D232" s="355" t="s">
        <v>247</v>
      </c>
      <c r="E232" s="356">
        <v>45453</v>
      </c>
      <c r="F232" s="370" t="s">
        <v>476</v>
      </c>
      <c r="G232" s="370"/>
      <c r="H232" s="370"/>
      <c r="I232" s="356">
        <v>45435</v>
      </c>
      <c r="J232" s="356">
        <v>45435</v>
      </c>
      <c r="K232" s="354"/>
    </row>
    <row r="233" spans="1:11">
      <c r="A233" s="353">
        <v>231</v>
      </c>
      <c r="B233" s="354" t="s">
        <v>484</v>
      </c>
      <c r="C233" s="354">
        <v>8978431010</v>
      </c>
      <c r="D233" s="355" t="s">
        <v>289</v>
      </c>
      <c r="E233" s="356">
        <v>45453</v>
      </c>
      <c r="F233" s="370" t="s">
        <v>476</v>
      </c>
      <c r="G233" s="370"/>
      <c r="H233" s="370"/>
      <c r="I233" s="356">
        <v>45435</v>
      </c>
      <c r="J233" s="356">
        <v>45435</v>
      </c>
      <c r="K233" s="354"/>
    </row>
    <row r="234" spans="1:11">
      <c r="A234" s="353">
        <v>232</v>
      </c>
      <c r="B234" s="354" t="s">
        <v>465</v>
      </c>
      <c r="C234" s="354">
        <v>8978749101</v>
      </c>
      <c r="D234" s="355" t="s">
        <v>498</v>
      </c>
      <c r="E234" s="356">
        <v>45457</v>
      </c>
      <c r="F234" s="353" t="s">
        <v>476</v>
      </c>
      <c r="G234" s="353" t="s">
        <v>499</v>
      </c>
      <c r="H234" s="353" t="s">
        <v>499</v>
      </c>
      <c r="I234" s="356">
        <v>45440</v>
      </c>
      <c r="J234" s="356">
        <v>45441</v>
      </c>
      <c r="K234" s="354"/>
    </row>
    <row r="235" spans="1:11">
      <c r="A235" s="353">
        <v>233</v>
      </c>
      <c r="B235" s="354" t="s">
        <v>465</v>
      </c>
      <c r="C235" s="354">
        <v>8978749111</v>
      </c>
      <c r="D235" s="355" t="s">
        <v>498</v>
      </c>
      <c r="E235" s="356">
        <v>45457</v>
      </c>
      <c r="F235" s="353" t="s">
        <v>476</v>
      </c>
      <c r="G235" s="353" t="s">
        <v>499</v>
      </c>
      <c r="H235" s="353" t="s">
        <v>499</v>
      </c>
      <c r="I235" s="356">
        <v>45440</v>
      </c>
      <c r="J235" s="356">
        <v>45441</v>
      </c>
      <c r="K235" s="354"/>
    </row>
    <row r="236" spans="1:11">
      <c r="A236" s="353">
        <v>234</v>
      </c>
      <c r="B236" s="354" t="s">
        <v>465</v>
      </c>
      <c r="C236" s="354">
        <v>7551945812</v>
      </c>
      <c r="D236" s="354" t="s">
        <v>247</v>
      </c>
      <c r="E236" s="356">
        <v>45460</v>
      </c>
      <c r="F236" s="370" t="s">
        <v>476</v>
      </c>
      <c r="G236" s="370" t="s">
        <v>499</v>
      </c>
      <c r="H236" s="370" t="s">
        <v>499</v>
      </c>
      <c r="I236" s="356">
        <v>45440</v>
      </c>
      <c r="J236" s="356">
        <v>45441</v>
      </c>
      <c r="K236" s="354"/>
    </row>
    <row r="237" spans="1:11">
      <c r="A237" s="353">
        <v>235</v>
      </c>
      <c r="B237" s="354" t="s">
        <v>465</v>
      </c>
      <c r="C237" s="354">
        <v>7551946252</v>
      </c>
      <c r="D237" s="354" t="s">
        <v>247</v>
      </c>
      <c r="E237" s="356">
        <v>45460</v>
      </c>
      <c r="F237" s="370" t="s">
        <v>476</v>
      </c>
      <c r="G237" s="370" t="s">
        <v>499</v>
      </c>
      <c r="H237" s="370" t="s">
        <v>499</v>
      </c>
      <c r="I237" s="356">
        <v>45441</v>
      </c>
      <c r="J237" s="356">
        <v>45441</v>
      </c>
      <c r="K237" s="354"/>
    </row>
    <row r="238" spans="1:11">
      <c r="A238" s="353">
        <v>236</v>
      </c>
      <c r="B238" s="354" t="s">
        <v>484</v>
      </c>
      <c r="C238" s="354">
        <v>7552138842</v>
      </c>
      <c r="D238" s="354" t="s">
        <v>294</v>
      </c>
      <c r="E238" s="356">
        <v>45460</v>
      </c>
      <c r="F238" s="370" t="s">
        <v>476</v>
      </c>
      <c r="G238" s="370" t="s">
        <v>499</v>
      </c>
      <c r="H238" s="370" t="s">
        <v>499</v>
      </c>
      <c r="I238" s="356">
        <v>45441</v>
      </c>
      <c r="J238" s="356">
        <v>45441</v>
      </c>
      <c r="K238" s="354"/>
    </row>
    <row r="239" spans="1:11">
      <c r="A239" s="353">
        <v>237</v>
      </c>
      <c r="B239" s="354" t="s">
        <v>484</v>
      </c>
      <c r="C239" s="354">
        <v>7552138862</v>
      </c>
      <c r="D239" s="354" t="s">
        <v>14</v>
      </c>
      <c r="E239" s="356">
        <v>45460</v>
      </c>
      <c r="F239" s="370" t="s">
        <v>476</v>
      </c>
      <c r="G239" s="370" t="s">
        <v>499</v>
      </c>
      <c r="H239" s="370" t="s">
        <v>499</v>
      </c>
      <c r="I239" s="356">
        <v>45441</v>
      </c>
      <c r="J239" s="356">
        <v>45441</v>
      </c>
      <c r="K239" s="354"/>
    </row>
    <row r="240" spans="1:11">
      <c r="A240" s="353">
        <v>238</v>
      </c>
      <c r="B240" s="354" t="s">
        <v>484</v>
      </c>
      <c r="C240" s="354">
        <v>7552164941</v>
      </c>
      <c r="D240" s="354" t="s">
        <v>287</v>
      </c>
      <c r="E240" s="356">
        <v>45460</v>
      </c>
      <c r="F240" s="370" t="s">
        <v>476</v>
      </c>
      <c r="G240" s="370" t="s">
        <v>499</v>
      </c>
      <c r="H240" s="370" t="s">
        <v>499</v>
      </c>
      <c r="I240" s="356">
        <v>45441</v>
      </c>
      <c r="J240" s="356">
        <v>45441</v>
      </c>
      <c r="K240" s="354"/>
    </row>
    <row r="241" spans="1:11">
      <c r="A241" s="353">
        <v>239</v>
      </c>
      <c r="B241" s="354" t="s">
        <v>484</v>
      </c>
      <c r="C241" s="354">
        <v>7552164981</v>
      </c>
      <c r="D241" s="354" t="s">
        <v>287</v>
      </c>
      <c r="E241" s="356">
        <v>45460</v>
      </c>
      <c r="F241" s="370" t="s">
        <v>476</v>
      </c>
      <c r="G241" s="370" t="s">
        <v>499</v>
      </c>
      <c r="H241" s="370" t="s">
        <v>499</v>
      </c>
      <c r="I241" s="356">
        <v>45441</v>
      </c>
      <c r="J241" s="356">
        <v>45441</v>
      </c>
      <c r="K241" s="354"/>
    </row>
    <row r="242" spans="1:11">
      <c r="A242" s="353">
        <v>240</v>
      </c>
      <c r="B242" s="354" t="s">
        <v>484</v>
      </c>
      <c r="C242" s="354">
        <v>7552165491</v>
      </c>
      <c r="D242" s="354" t="s">
        <v>500</v>
      </c>
      <c r="E242" s="356">
        <v>45460</v>
      </c>
      <c r="F242" s="370" t="s">
        <v>476</v>
      </c>
      <c r="G242" s="370" t="s">
        <v>499</v>
      </c>
      <c r="H242" s="370" t="s">
        <v>499</v>
      </c>
      <c r="I242" s="356">
        <v>45441</v>
      </c>
      <c r="J242" s="356">
        <v>45441</v>
      </c>
      <c r="K242" s="354"/>
    </row>
    <row r="243" spans="1:11">
      <c r="A243" s="353">
        <v>241</v>
      </c>
      <c r="B243" s="354" t="s">
        <v>465</v>
      </c>
      <c r="C243" s="354">
        <v>7552209090</v>
      </c>
      <c r="D243" s="354" t="s">
        <v>243</v>
      </c>
      <c r="E243" s="356">
        <v>45460</v>
      </c>
      <c r="F243" s="370" t="s">
        <v>476</v>
      </c>
      <c r="G243" s="370" t="s">
        <v>499</v>
      </c>
      <c r="H243" s="370" t="s">
        <v>499</v>
      </c>
      <c r="I243" s="356">
        <v>45441</v>
      </c>
      <c r="J243" s="356">
        <v>45441</v>
      </c>
      <c r="K243" s="354"/>
    </row>
    <row r="244" spans="1:11">
      <c r="A244" s="353">
        <v>242</v>
      </c>
      <c r="B244" s="354" t="s">
        <v>465</v>
      </c>
      <c r="C244" s="354">
        <v>7552225510</v>
      </c>
      <c r="D244" s="354" t="s">
        <v>244</v>
      </c>
      <c r="E244" s="356">
        <v>45460</v>
      </c>
      <c r="F244" s="370" t="s">
        <v>476</v>
      </c>
      <c r="G244" s="370" t="s">
        <v>499</v>
      </c>
      <c r="H244" s="370" t="s">
        <v>499</v>
      </c>
      <c r="I244" s="356">
        <v>45442</v>
      </c>
      <c r="J244" s="356">
        <v>45442</v>
      </c>
      <c r="K244" s="354"/>
    </row>
    <row r="245" spans="1:11">
      <c r="A245" s="353">
        <v>243</v>
      </c>
      <c r="B245" s="354" t="s">
        <v>465</v>
      </c>
      <c r="C245" s="354">
        <v>7552383220</v>
      </c>
      <c r="D245" s="354" t="s">
        <v>261</v>
      </c>
      <c r="E245" s="356">
        <v>45460</v>
      </c>
      <c r="F245" s="370" t="s">
        <v>476</v>
      </c>
      <c r="G245" s="370" t="s">
        <v>499</v>
      </c>
      <c r="H245" s="370" t="s">
        <v>499</v>
      </c>
      <c r="I245" s="356">
        <v>45441</v>
      </c>
      <c r="J245" s="356">
        <v>45441</v>
      </c>
      <c r="K245" s="354"/>
    </row>
    <row r="246" spans="1:11">
      <c r="A246" s="353">
        <v>244</v>
      </c>
      <c r="B246" s="354" t="s">
        <v>465</v>
      </c>
      <c r="C246" s="354">
        <v>7552383230</v>
      </c>
      <c r="D246" s="354" t="s">
        <v>261</v>
      </c>
      <c r="E246" s="356">
        <v>45460</v>
      </c>
      <c r="F246" s="370" t="s">
        <v>476</v>
      </c>
      <c r="G246" s="370" t="s">
        <v>499</v>
      </c>
      <c r="H246" s="370" t="s">
        <v>499</v>
      </c>
      <c r="I246" s="356">
        <v>45441</v>
      </c>
      <c r="J246" s="356">
        <v>45441</v>
      </c>
      <c r="K246" s="354"/>
    </row>
    <row r="247" spans="1:11">
      <c r="A247" s="353">
        <v>245</v>
      </c>
      <c r="B247" s="354" t="s">
        <v>484</v>
      </c>
      <c r="C247" s="354">
        <v>7552434110</v>
      </c>
      <c r="D247" s="354" t="s">
        <v>293</v>
      </c>
      <c r="E247" s="356">
        <v>45460</v>
      </c>
      <c r="F247" s="370" t="s">
        <v>476</v>
      </c>
      <c r="G247" s="370" t="s">
        <v>499</v>
      </c>
      <c r="H247" s="370" t="s">
        <v>499</v>
      </c>
      <c r="I247" s="356">
        <v>45441</v>
      </c>
      <c r="J247" s="356">
        <v>45441</v>
      </c>
      <c r="K247" s="354"/>
    </row>
    <row r="248" spans="1:11">
      <c r="A248" s="353">
        <v>246</v>
      </c>
      <c r="B248" s="354" t="s">
        <v>484</v>
      </c>
      <c r="C248" s="354">
        <v>7552434180</v>
      </c>
      <c r="D248" s="354" t="s">
        <v>295</v>
      </c>
      <c r="E248" s="356">
        <v>45460</v>
      </c>
      <c r="F248" s="370" t="s">
        <v>476</v>
      </c>
      <c r="G248" s="370" t="s">
        <v>499</v>
      </c>
      <c r="H248" s="370" t="s">
        <v>499</v>
      </c>
      <c r="I248" s="356">
        <v>45441</v>
      </c>
      <c r="J248" s="356">
        <v>45441</v>
      </c>
      <c r="K248" s="354"/>
    </row>
    <row r="249" spans="1:11">
      <c r="A249" s="353">
        <v>247</v>
      </c>
      <c r="B249" s="354" t="s">
        <v>465</v>
      </c>
      <c r="C249" s="354">
        <v>8972760041</v>
      </c>
      <c r="D249" s="354" t="s">
        <v>243</v>
      </c>
      <c r="E249" s="356">
        <v>45460</v>
      </c>
      <c r="F249" s="370" t="s">
        <v>476</v>
      </c>
      <c r="G249" s="370" t="s">
        <v>499</v>
      </c>
      <c r="H249" s="370" t="s">
        <v>499</v>
      </c>
      <c r="I249" s="356">
        <v>45442</v>
      </c>
      <c r="J249" s="356">
        <v>45442</v>
      </c>
      <c r="K249" s="354"/>
    </row>
    <row r="250" spans="1:11">
      <c r="A250" s="353">
        <v>248</v>
      </c>
      <c r="B250" s="354" t="s">
        <v>484</v>
      </c>
      <c r="C250" s="354">
        <v>8977917440</v>
      </c>
      <c r="D250" s="354" t="s">
        <v>298</v>
      </c>
      <c r="E250" s="356">
        <v>45460</v>
      </c>
      <c r="F250" s="353" t="s">
        <v>485</v>
      </c>
      <c r="G250" s="370"/>
      <c r="H250" s="370"/>
      <c r="I250" s="356">
        <v>45449</v>
      </c>
      <c r="J250" s="356">
        <v>45449</v>
      </c>
      <c r="K250" s="354"/>
    </row>
    <row r="251" spans="1:11">
      <c r="A251" s="353">
        <v>249</v>
      </c>
      <c r="B251" s="354" t="s">
        <v>465</v>
      </c>
      <c r="C251" s="354">
        <v>8977943082</v>
      </c>
      <c r="D251" s="354" t="s">
        <v>258</v>
      </c>
      <c r="E251" s="356">
        <v>45460</v>
      </c>
      <c r="F251" s="370" t="s">
        <v>476</v>
      </c>
      <c r="G251" s="370" t="s">
        <v>499</v>
      </c>
      <c r="H251" s="370" t="s">
        <v>499</v>
      </c>
      <c r="I251" s="356">
        <v>45442</v>
      </c>
      <c r="J251" s="356">
        <v>45442</v>
      </c>
      <c r="K251" s="354"/>
    </row>
    <row r="252" spans="1:11">
      <c r="A252" s="353">
        <v>250</v>
      </c>
      <c r="B252" s="354" t="s">
        <v>465</v>
      </c>
      <c r="C252" s="354">
        <v>8977943092</v>
      </c>
      <c r="D252" s="354" t="s">
        <v>237</v>
      </c>
      <c r="E252" s="356">
        <v>45460</v>
      </c>
      <c r="F252" s="370" t="s">
        <v>476</v>
      </c>
      <c r="G252" s="370" t="s">
        <v>499</v>
      </c>
      <c r="H252" s="370" t="s">
        <v>499</v>
      </c>
      <c r="I252" s="356">
        <v>45442</v>
      </c>
      <c r="J252" s="356">
        <v>45442</v>
      </c>
      <c r="K252" s="354"/>
    </row>
    <row r="253" spans="1:11">
      <c r="A253" s="353">
        <v>251</v>
      </c>
      <c r="B253" s="354" t="s">
        <v>465</v>
      </c>
      <c r="C253" s="354">
        <v>8977943142</v>
      </c>
      <c r="D253" s="354" t="s">
        <v>237</v>
      </c>
      <c r="E253" s="356">
        <v>45460</v>
      </c>
      <c r="F253" s="370" t="s">
        <v>476</v>
      </c>
      <c r="G253" s="370" t="s">
        <v>499</v>
      </c>
      <c r="H253" s="370" t="s">
        <v>499</v>
      </c>
      <c r="I253" s="356">
        <v>45442</v>
      </c>
      <c r="J253" s="356">
        <v>45442</v>
      </c>
      <c r="K253" s="354"/>
    </row>
    <row r="254" spans="1:11">
      <c r="A254" s="353">
        <v>252</v>
      </c>
      <c r="B254" s="354" t="s">
        <v>465</v>
      </c>
      <c r="C254" s="354">
        <v>8977943502</v>
      </c>
      <c r="D254" s="354" t="s">
        <v>258</v>
      </c>
      <c r="E254" s="356">
        <v>45460</v>
      </c>
      <c r="F254" s="370" t="s">
        <v>476</v>
      </c>
      <c r="G254" s="370" t="s">
        <v>499</v>
      </c>
      <c r="H254" s="370" t="s">
        <v>499</v>
      </c>
      <c r="I254" s="356">
        <v>45441</v>
      </c>
      <c r="J254" s="356">
        <v>45441</v>
      </c>
      <c r="K254" s="354"/>
    </row>
    <row r="255" spans="1:11">
      <c r="A255" s="353">
        <v>253</v>
      </c>
      <c r="B255" s="354" t="s">
        <v>465</v>
      </c>
      <c r="C255" s="354">
        <v>8978312750</v>
      </c>
      <c r="D255" s="354" t="s">
        <v>11</v>
      </c>
      <c r="E255" s="356">
        <v>45460</v>
      </c>
      <c r="F255" s="370" t="s">
        <v>476</v>
      </c>
      <c r="G255" s="370" t="s">
        <v>499</v>
      </c>
      <c r="H255" s="370" t="s">
        <v>499</v>
      </c>
      <c r="I255" s="356">
        <v>45441</v>
      </c>
      <c r="J255" s="356">
        <v>45441</v>
      </c>
      <c r="K255" s="354"/>
    </row>
    <row r="256" spans="1:11">
      <c r="A256" s="353">
        <v>254</v>
      </c>
      <c r="B256" s="354" t="s">
        <v>465</v>
      </c>
      <c r="C256" s="354">
        <v>8978363792</v>
      </c>
      <c r="D256" s="354" t="s">
        <v>237</v>
      </c>
      <c r="E256" s="356">
        <v>45460</v>
      </c>
      <c r="F256" s="370" t="s">
        <v>476</v>
      </c>
      <c r="G256" s="370" t="s">
        <v>499</v>
      </c>
      <c r="H256" s="370" t="s">
        <v>499</v>
      </c>
      <c r="I256" s="356">
        <v>45442</v>
      </c>
      <c r="J256" s="356">
        <v>45442</v>
      </c>
      <c r="K256" s="354"/>
    </row>
    <row r="257" spans="1:11">
      <c r="A257" s="353">
        <v>255</v>
      </c>
      <c r="B257" s="354" t="s">
        <v>465</v>
      </c>
      <c r="C257" s="354">
        <v>8978767383</v>
      </c>
      <c r="D257" s="354" t="s">
        <v>237</v>
      </c>
      <c r="E257" s="356">
        <v>45460</v>
      </c>
      <c r="F257" s="370" t="s">
        <v>476</v>
      </c>
      <c r="G257" s="370" t="s">
        <v>499</v>
      </c>
      <c r="H257" s="370" t="s">
        <v>499</v>
      </c>
      <c r="I257" s="356">
        <v>45442</v>
      </c>
      <c r="J257" s="356">
        <v>45442</v>
      </c>
      <c r="K257" s="354"/>
    </row>
    <row r="258" spans="1:11">
      <c r="A258" s="353">
        <v>256</v>
      </c>
      <c r="B258" s="354" t="s">
        <v>465</v>
      </c>
      <c r="C258" s="354">
        <v>8978795022</v>
      </c>
      <c r="D258" s="354" t="s">
        <v>256</v>
      </c>
      <c r="E258" s="356">
        <v>45460</v>
      </c>
      <c r="F258" s="370" t="s">
        <v>476</v>
      </c>
      <c r="G258" s="370" t="s">
        <v>499</v>
      </c>
      <c r="H258" s="370" t="s">
        <v>499</v>
      </c>
      <c r="I258" s="356">
        <v>45441</v>
      </c>
      <c r="J258" s="356">
        <v>45441</v>
      </c>
      <c r="K258" s="354"/>
    </row>
    <row r="259" spans="1:11">
      <c r="A259" s="353">
        <v>257</v>
      </c>
      <c r="B259" s="354" t="s">
        <v>465</v>
      </c>
      <c r="C259" s="354" t="s">
        <v>501</v>
      </c>
      <c r="D259" s="355" t="s">
        <v>498</v>
      </c>
      <c r="E259" s="356">
        <v>45462</v>
      </c>
      <c r="F259" s="370" t="s">
        <v>475</v>
      </c>
      <c r="G259" s="370" t="s">
        <v>499</v>
      </c>
      <c r="H259" s="353" t="s">
        <v>499</v>
      </c>
      <c r="I259" s="356">
        <v>45455</v>
      </c>
      <c r="J259" s="356" t="s">
        <v>502</v>
      </c>
      <c r="K259" s="354"/>
    </row>
    <row r="260" spans="1:11">
      <c r="A260" s="353">
        <v>258</v>
      </c>
      <c r="B260" s="354" t="s">
        <v>497</v>
      </c>
      <c r="C260" s="354">
        <v>7552043232</v>
      </c>
      <c r="D260" s="354" t="s">
        <v>257</v>
      </c>
      <c r="E260" s="356">
        <v>45467</v>
      </c>
      <c r="F260" s="370" t="s">
        <v>476</v>
      </c>
      <c r="G260" s="370"/>
      <c r="H260" s="370"/>
      <c r="I260" s="356">
        <v>45449</v>
      </c>
      <c r="J260" s="356">
        <v>45449</v>
      </c>
      <c r="K260" s="354"/>
    </row>
    <row r="261" spans="1:11">
      <c r="A261" s="353">
        <v>259</v>
      </c>
      <c r="B261" s="354" t="s">
        <v>484</v>
      </c>
      <c r="C261" s="354">
        <v>7552164972</v>
      </c>
      <c r="D261" s="354" t="s">
        <v>286</v>
      </c>
      <c r="E261" s="356">
        <v>45467</v>
      </c>
      <c r="F261" s="353" t="s">
        <v>485</v>
      </c>
      <c r="G261" s="370"/>
      <c r="H261" s="370"/>
      <c r="I261" s="356">
        <v>45449</v>
      </c>
      <c r="J261" s="356">
        <v>45449</v>
      </c>
      <c r="K261" s="354"/>
    </row>
    <row r="262" spans="1:11">
      <c r="A262" s="353">
        <v>260</v>
      </c>
      <c r="B262" s="354" t="s">
        <v>484</v>
      </c>
      <c r="C262" s="354">
        <v>7552165472</v>
      </c>
      <c r="D262" s="354" t="s">
        <v>284</v>
      </c>
      <c r="E262" s="356">
        <v>45467</v>
      </c>
      <c r="F262" s="353" t="s">
        <v>485</v>
      </c>
      <c r="G262" s="370"/>
      <c r="H262" s="370"/>
      <c r="I262" s="356">
        <v>45449</v>
      </c>
      <c r="J262" s="356">
        <v>45449</v>
      </c>
      <c r="K262" s="354"/>
    </row>
    <row r="263" spans="1:11">
      <c r="A263" s="353">
        <v>261</v>
      </c>
      <c r="B263" s="354" t="s">
        <v>484</v>
      </c>
      <c r="C263" s="354">
        <v>8972416632</v>
      </c>
      <c r="D263" s="354" t="s">
        <v>257</v>
      </c>
      <c r="E263" s="356">
        <v>45467</v>
      </c>
      <c r="F263" s="370" t="s">
        <v>476</v>
      </c>
      <c r="G263" s="370"/>
      <c r="H263" s="370"/>
      <c r="I263" s="356">
        <v>45449</v>
      </c>
      <c r="J263" s="356">
        <v>45449</v>
      </c>
      <c r="K263" s="354"/>
    </row>
    <row r="264" spans="1:11">
      <c r="A264" s="353">
        <v>262</v>
      </c>
      <c r="B264" s="354" t="s">
        <v>484</v>
      </c>
      <c r="C264" s="354">
        <v>8976682230</v>
      </c>
      <c r="D264" s="354" t="s">
        <v>281</v>
      </c>
      <c r="E264" s="356">
        <v>45467</v>
      </c>
      <c r="F264" s="370" t="s">
        <v>476</v>
      </c>
      <c r="G264" s="370"/>
      <c r="H264" s="370"/>
      <c r="I264" s="356">
        <v>45449</v>
      </c>
      <c r="J264" s="356">
        <v>45449</v>
      </c>
      <c r="K264" s="354"/>
    </row>
    <row r="265" spans="1:11">
      <c r="A265" s="353">
        <v>263</v>
      </c>
      <c r="B265" s="354" t="s">
        <v>484</v>
      </c>
      <c r="C265" s="354">
        <v>8976682240</v>
      </c>
      <c r="D265" s="354" t="s">
        <v>281</v>
      </c>
      <c r="E265" s="356">
        <v>45467</v>
      </c>
      <c r="F265" s="370" t="s">
        <v>476</v>
      </c>
      <c r="G265" s="370"/>
      <c r="H265" s="370"/>
      <c r="I265" s="356">
        <v>45449</v>
      </c>
      <c r="J265" s="356">
        <v>45449</v>
      </c>
      <c r="K265" s="354"/>
    </row>
    <row r="266" spans="1:11">
      <c r="A266" s="353">
        <v>264</v>
      </c>
      <c r="B266" s="354" t="s">
        <v>484</v>
      </c>
      <c r="C266" s="354">
        <v>8976840250</v>
      </c>
      <c r="D266" s="354" t="s">
        <v>281</v>
      </c>
      <c r="E266" s="356">
        <v>45467</v>
      </c>
      <c r="F266" s="370" t="s">
        <v>476</v>
      </c>
      <c r="G266" s="370"/>
      <c r="H266" s="370"/>
      <c r="I266" s="356">
        <v>45449</v>
      </c>
      <c r="J266" s="356">
        <v>45449</v>
      </c>
      <c r="K266" s="354"/>
    </row>
    <row r="267" spans="1:11">
      <c r="A267" s="353">
        <v>265</v>
      </c>
      <c r="B267" s="354" t="s">
        <v>484</v>
      </c>
      <c r="C267" s="354">
        <v>8976880440</v>
      </c>
      <c r="D267" s="354" t="s">
        <v>289</v>
      </c>
      <c r="E267" s="356">
        <v>45467</v>
      </c>
      <c r="F267" s="370" t="s">
        <v>476</v>
      </c>
      <c r="G267" s="370"/>
      <c r="H267" s="370"/>
      <c r="I267" s="356">
        <v>45449</v>
      </c>
      <c r="J267" s="356">
        <v>45449</v>
      </c>
      <c r="K267" s="354"/>
    </row>
    <row r="268" spans="1:11">
      <c r="A268" s="353">
        <v>266</v>
      </c>
      <c r="B268" s="354" t="s">
        <v>497</v>
      </c>
      <c r="C268" s="354">
        <v>7551885412</v>
      </c>
      <c r="D268" s="354" t="s">
        <v>257</v>
      </c>
      <c r="E268" s="356">
        <v>45474</v>
      </c>
      <c r="F268" s="370" t="s">
        <v>476</v>
      </c>
      <c r="G268" s="370"/>
      <c r="H268" s="370"/>
      <c r="I268" s="356">
        <v>45456</v>
      </c>
      <c r="J268" s="356">
        <v>45456</v>
      </c>
      <c r="K268" s="354"/>
    </row>
    <row r="269" spans="1:11">
      <c r="A269" s="353">
        <v>267</v>
      </c>
      <c r="B269" s="354" t="s">
        <v>484</v>
      </c>
      <c r="C269" s="354">
        <v>8975587340</v>
      </c>
      <c r="D269" s="354" t="s">
        <v>12</v>
      </c>
      <c r="E269" s="356">
        <v>45474</v>
      </c>
      <c r="F269" s="370" t="s">
        <v>476</v>
      </c>
      <c r="G269" s="370"/>
      <c r="H269" s="370"/>
      <c r="I269" s="356">
        <v>45456</v>
      </c>
      <c r="J269" s="356">
        <v>45456</v>
      </c>
      <c r="K269" s="354"/>
    </row>
    <row r="270" spans="1:11">
      <c r="A270" s="353">
        <v>268</v>
      </c>
      <c r="B270" s="354" t="s">
        <v>497</v>
      </c>
      <c r="C270" s="354">
        <v>8978794373</v>
      </c>
      <c r="D270" s="354" t="s">
        <v>257</v>
      </c>
      <c r="E270" s="356">
        <v>45474</v>
      </c>
      <c r="F270" s="370" t="s">
        <v>476</v>
      </c>
      <c r="G270" s="370"/>
      <c r="H270" s="370"/>
      <c r="I270" s="356">
        <v>45456</v>
      </c>
      <c r="J270" s="356">
        <v>45456</v>
      </c>
      <c r="K270" s="354"/>
    </row>
    <row r="271" spans="1:11">
      <c r="A271" s="353">
        <v>269</v>
      </c>
      <c r="B271" s="354" t="s">
        <v>497</v>
      </c>
      <c r="C271" s="354">
        <v>8977943672</v>
      </c>
      <c r="D271" s="354" t="s">
        <v>245</v>
      </c>
      <c r="E271" s="356">
        <v>45481</v>
      </c>
      <c r="F271" s="361" t="s">
        <v>8</v>
      </c>
      <c r="G271" s="370"/>
      <c r="H271" s="370"/>
      <c r="I271" s="356">
        <v>45462</v>
      </c>
      <c r="J271" s="356">
        <v>45462</v>
      </c>
      <c r="K271" s="354"/>
    </row>
    <row r="272" spans="1:11">
      <c r="A272" s="353">
        <v>270</v>
      </c>
      <c r="B272" s="354" t="s">
        <v>503</v>
      </c>
      <c r="C272" s="354">
        <v>7552418071</v>
      </c>
      <c r="D272" s="372" t="s">
        <v>284</v>
      </c>
      <c r="E272" s="356">
        <v>45488</v>
      </c>
      <c r="F272" s="361" t="s">
        <v>8</v>
      </c>
      <c r="G272" s="353"/>
      <c r="H272" s="353"/>
      <c r="I272" s="356">
        <v>45463</v>
      </c>
      <c r="J272" s="356">
        <v>45463</v>
      </c>
      <c r="K272" s="354"/>
    </row>
    <row r="273" spans="1:11">
      <c r="A273" s="353">
        <v>271</v>
      </c>
      <c r="B273" s="354" t="s">
        <v>497</v>
      </c>
      <c r="C273" s="354">
        <v>7552378490</v>
      </c>
      <c r="D273" s="355" t="s">
        <v>247</v>
      </c>
      <c r="E273" s="356">
        <v>45495</v>
      </c>
      <c r="F273" s="361" t="s">
        <v>8</v>
      </c>
      <c r="G273" s="353"/>
      <c r="H273" s="353"/>
      <c r="I273" s="356">
        <v>45468</v>
      </c>
      <c r="J273" s="356">
        <v>45468</v>
      </c>
      <c r="K273" s="354"/>
    </row>
    <row r="274" spans="1:11">
      <c r="A274" s="353">
        <v>272</v>
      </c>
      <c r="B274" s="354" t="s">
        <v>497</v>
      </c>
      <c r="C274" s="369">
        <v>8978767294</v>
      </c>
      <c r="D274" s="372" t="s">
        <v>245</v>
      </c>
      <c r="E274" s="356">
        <v>45495</v>
      </c>
      <c r="F274" s="361" t="s">
        <v>476</v>
      </c>
      <c r="G274" s="353"/>
      <c r="H274" s="353"/>
      <c r="I274" s="356">
        <v>45485</v>
      </c>
      <c r="J274" s="356">
        <v>45485</v>
      </c>
      <c r="K274" s="354"/>
    </row>
    <row r="275" spans="1:11">
      <c r="A275" s="353">
        <v>273</v>
      </c>
      <c r="B275" s="354" t="s">
        <v>497</v>
      </c>
      <c r="C275" s="354" t="s">
        <v>504</v>
      </c>
      <c r="D275" s="354" t="s">
        <v>505</v>
      </c>
      <c r="E275" s="356">
        <v>45496</v>
      </c>
      <c r="F275" s="361" t="s">
        <v>8</v>
      </c>
      <c r="G275" s="370"/>
      <c r="H275" s="370"/>
      <c r="I275" s="356">
        <v>45463</v>
      </c>
      <c r="J275" s="356">
        <v>45463</v>
      </c>
      <c r="K275" s="354"/>
    </row>
    <row r="276" spans="1:11">
      <c r="A276" s="353">
        <v>274</v>
      </c>
      <c r="B276" s="354" t="s">
        <v>497</v>
      </c>
      <c r="C276" s="369">
        <v>7551946031</v>
      </c>
      <c r="D276" s="372" t="s">
        <v>247</v>
      </c>
      <c r="E276" s="356">
        <v>45502</v>
      </c>
      <c r="F276" s="361" t="s">
        <v>8</v>
      </c>
      <c r="G276" s="353"/>
      <c r="H276" s="353"/>
      <c r="I276" s="356">
        <v>45476</v>
      </c>
      <c r="J276" s="356">
        <v>45478</v>
      </c>
      <c r="K276" s="354"/>
    </row>
    <row r="277" spans="1:11">
      <c r="A277" s="353">
        <v>275</v>
      </c>
      <c r="B277" s="354" t="s">
        <v>486</v>
      </c>
      <c r="C277" s="369">
        <v>7551946362</v>
      </c>
      <c r="D277" s="372" t="s">
        <v>247</v>
      </c>
      <c r="E277" s="356">
        <v>45502</v>
      </c>
      <c r="F277" s="361" t="s">
        <v>8</v>
      </c>
      <c r="G277" s="370"/>
      <c r="H277" s="370"/>
      <c r="I277" s="356">
        <v>45477</v>
      </c>
      <c r="J277" s="356">
        <v>45481</v>
      </c>
      <c r="K277" s="354"/>
    </row>
    <row r="278" spans="1:11">
      <c r="A278" s="353">
        <v>276</v>
      </c>
      <c r="B278" s="354" t="s">
        <v>484</v>
      </c>
      <c r="C278" s="369">
        <v>7552165741</v>
      </c>
      <c r="D278" s="372" t="s">
        <v>287</v>
      </c>
      <c r="E278" s="356">
        <v>45502</v>
      </c>
      <c r="F278" s="361" t="s">
        <v>8</v>
      </c>
      <c r="G278" s="353"/>
      <c r="H278" s="353"/>
      <c r="I278" s="356">
        <v>45477</v>
      </c>
      <c r="J278" s="356">
        <v>45478</v>
      </c>
      <c r="K278" s="354"/>
    </row>
    <row r="279" spans="1:11">
      <c r="A279" s="353">
        <v>277</v>
      </c>
      <c r="B279" s="354" t="s">
        <v>497</v>
      </c>
      <c r="C279" s="369">
        <v>7552222871</v>
      </c>
      <c r="D279" s="372" t="s">
        <v>245</v>
      </c>
      <c r="E279" s="356">
        <v>45502</v>
      </c>
      <c r="F279" s="361" t="s">
        <v>8</v>
      </c>
      <c r="G279" s="353"/>
      <c r="H279" s="353"/>
      <c r="I279" s="356">
        <v>45476</v>
      </c>
      <c r="J279" s="356">
        <v>45478</v>
      </c>
      <c r="K279" s="354"/>
    </row>
    <row r="280" spans="1:11">
      <c r="A280" s="353">
        <v>278</v>
      </c>
      <c r="B280" s="354" t="s">
        <v>497</v>
      </c>
      <c r="C280" s="369">
        <v>7552222941</v>
      </c>
      <c r="D280" s="372" t="s">
        <v>245</v>
      </c>
      <c r="E280" s="356">
        <v>45502</v>
      </c>
      <c r="F280" s="361" t="s">
        <v>8</v>
      </c>
      <c r="G280" s="353"/>
      <c r="H280" s="353"/>
      <c r="I280" s="356">
        <v>45484</v>
      </c>
      <c r="J280" s="356">
        <v>45484</v>
      </c>
      <c r="K280" s="354"/>
    </row>
    <row r="281" spans="1:11">
      <c r="A281" s="353">
        <v>279</v>
      </c>
      <c r="B281" s="354" t="s">
        <v>497</v>
      </c>
      <c r="C281" s="369">
        <v>7552222971</v>
      </c>
      <c r="D281" s="372" t="s">
        <v>245</v>
      </c>
      <c r="E281" s="356">
        <v>45502</v>
      </c>
      <c r="F281" s="361" t="s">
        <v>8</v>
      </c>
      <c r="G281" s="353"/>
      <c r="H281" s="353"/>
      <c r="I281" s="356">
        <v>45484</v>
      </c>
      <c r="J281" s="356">
        <v>45484</v>
      </c>
      <c r="K281" s="354"/>
    </row>
    <row r="282" spans="1:11">
      <c r="A282" s="353">
        <v>280</v>
      </c>
      <c r="B282" s="354" t="s">
        <v>497</v>
      </c>
      <c r="C282" s="369">
        <v>7552222981</v>
      </c>
      <c r="D282" s="372" t="s">
        <v>245</v>
      </c>
      <c r="E282" s="356">
        <v>45502</v>
      </c>
      <c r="F282" s="361" t="s">
        <v>8</v>
      </c>
      <c r="G282" s="353"/>
      <c r="H282" s="353"/>
      <c r="I282" s="356">
        <v>45484</v>
      </c>
      <c r="J282" s="356">
        <v>45484</v>
      </c>
      <c r="K282" s="354"/>
    </row>
    <row r="283" spans="1:11">
      <c r="A283" s="353">
        <v>281</v>
      </c>
      <c r="B283" s="354" t="s">
        <v>497</v>
      </c>
      <c r="C283" s="369">
        <v>7552378310</v>
      </c>
      <c r="D283" s="372" t="s">
        <v>247</v>
      </c>
      <c r="E283" s="356">
        <v>45502</v>
      </c>
      <c r="F283" s="361" t="s">
        <v>8</v>
      </c>
      <c r="G283" s="353"/>
      <c r="H283" s="353"/>
      <c r="I283" s="356">
        <v>45476</v>
      </c>
      <c r="J283" s="356">
        <v>45478</v>
      </c>
      <c r="K283" s="354"/>
    </row>
    <row r="284" spans="1:11">
      <c r="A284" s="353">
        <v>282</v>
      </c>
      <c r="B284" s="354" t="s">
        <v>497</v>
      </c>
      <c r="C284" s="369">
        <v>7552378370</v>
      </c>
      <c r="D284" s="372" t="s">
        <v>247</v>
      </c>
      <c r="E284" s="356">
        <v>45502</v>
      </c>
      <c r="F284" s="361" t="s">
        <v>8</v>
      </c>
      <c r="G284" s="353"/>
      <c r="H284" s="353"/>
      <c r="I284" s="356">
        <v>45477</v>
      </c>
      <c r="J284" s="356">
        <v>45478</v>
      </c>
      <c r="K284" s="354"/>
    </row>
    <row r="285" spans="1:11">
      <c r="A285" s="353">
        <v>283</v>
      </c>
      <c r="B285" s="354" t="s">
        <v>497</v>
      </c>
      <c r="C285" s="369">
        <v>7552378430</v>
      </c>
      <c r="D285" s="372" t="s">
        <v>247</v>
      </c>
      <c r="E285" s="356">
        <v>45502</v>
      </c>
      <c r="F285" s="361" t="s">
        <v>8</v>
      </c>
      <c r="G285" s="353"/>
      <c r="H285" s="353"/>
      <c r="I285" s="356">
        <v>45477</v>
      </c>
      <c r="J285" s="356">
        <v>45478</v>
      </c>
      <c r="K285" s="354"/>
    </row>
    <row r="286" spans="1:11">
      <c r="A286" s="353">
        <v>284</v>
      </c>
      <c r="B286" s="354" t="s">
        <v>497</v>
      </c>
      <c r="C286" s="369">
        <v>7552378460</v>
      </c>
      <c r="D286" s="372" t="s">
        <v>247</v>
      </c>
      <c r="E286" s="356">
        <v>45502</v>
      </c>
      <c r="F286" s="361" t="s">
        <v>8</v>
      </c>
      <c r="G286" s="353"/>
      <c r="H286" s="353"/>
      <c r="I286" s="356">
        <v>45477</v>
      </c>
      <c r="J286" s="356">
        <v>45478</v>
      </c>
      <c r="K286" s="354"/>
    </row>
    <row r="287" spans="1:11">
      <c r="A287" s="374">
        <v>285</v>
      </c>
      <c r="B287" s="375" t="s">
        <v>489</v>
      </c>
      <c r="C287" s="375">
        <v>7552380880</v>
      </c>
      <c r="D287" s="375" t="s">
        <v>247</v>
      </c>
      <c r="E287" s="376">
        <v>45502</v>
      </c>
      <c r="F287" s="377" t="s">
        <v>8</v>
      </c>
      <c r="G287" s="378"/>
      <c r="H287" s="378"/>
      <c r="I287" s="376" t="s">
        <v>470</v>
      </c>
      <c r="J287" s="376"/>
      <c r="K287" s="379"/>
    </row>
    <row r="288" spans="1:11">
      <c r="A288" s="374">
        <v>286</v>
      </c>
      <c r="B288" s="375" t="s">
        <v>489</v>
      </c>
      <c r="C288" s="375">
        <v>7552380900</v>
      </c>
      <c r="D288" s="375" t="s">
        <v>247</v>
      </c>
      <c r="E288" s="376">
        <v>45502</v>
      </c>
      <c r="F288" s="377" t="s">
        <v>8</v>
      </c>
      <c r="G288" s="378"/>
      <c r="H288" s="378"/>
      <c r="I288" s="376" t="s">
        <v>470</v>
      </c>
      <c r="J288" s="376"/>
      <c r="K288" s="379"/>
    </row>
    <row r="289" spans="1:11">
      <c r="A289" s="374">
        <v>287</v>
      </c>
      <c r="B289" s="375" t="s">
        <v>489</v>
      </c>
      <c r="C289" s="375">
        <v>7552380910</v>
      </c>
      <c r="D289" s="375" t="s">
        <v>247</v>
      </c>
      <c r="E289" s="376">
        <v>45502</v>
      </c>
      <c r="F289" s="377" t="s">
        <v>8</v>
      </c>
      <c r="G289" s="378"/>
      <c r="H289" s="378"/>
      <c r="I289" s="376" t="s">
        <v>470</v>
      </c>
      <c r="J289" s="376"/>
      <c r="K289" s="379"/>
    </row>
    <row r="290" spans="1:11">
      <c r="A290" s="353">
        <v>288</v>
      </c>
      <c r="B290" s="354" t="s">
        <v>503</v>
      </c>
      <c r="C290" s="369">
        <v>7552418180</v>
      </c>
      <c r="D290" s="372" t="s">
        <v>287</v>
      </c>
      <c r="E290" s="356">
        <v>45502</v>
      </c>
      <c r="F290" s="361" t="s">
        <v>8</v>
      </c>
      <c r="G290" s="353"/>
      <c r="H290" s="353"/>
      <c r="I290" s="356">
        <v>45478</v>
      </c>
      <c r="J290" s="356">
        <v>45478</v>
      </c>
      <c r="K290" s="354"/>
    </row>
    <row r="291" spans="1:11">
      <c r="A291" s="353">
        <v>289</v>
      </c>
      <c r="B291" s="354" t="s">
        <v>484</v>
      </c>
      <c r="C291" s="369">
        <v>8976793960</v>
      </c>
      <c r="D291" s="372" t="s">
        <v>12</v>
      </c>
      <c r="E291" s="356">
        <v>45502</v>
      </c>
      <c r="F291" s="361" t="s">
        <v>8</v>
      </c>
      <c r="G291" s="353"/>
      <c r="H291" s="353"/>
      <c r="I291" s="356">
        <v>45478</v>
      </c>
      <c r="J291" s="356">
        <v>45478</v>
      </c>
      <c r="K291" s="354"/>
    </row>
    <row r="292" spans="1:11">
      <c r="A292" s="353">
        <v>290</v>
      </c>
      <c r="B292" s="354" t="s">
        <v>497</v>
      </c>
      <c r="C292" s="369">
        <v>8977943273</v>
      </c>
      <c r="D292" s="372" t="s">
        <v>245</v>
      </c>
      <c r="E292" s="356">
        <v>45502</v>
      </c>
      <c r="F292" s="361" t="s">
        <v>476</v>
      </c>
      <c r="G292" s="353"/>
      <c r="H292" s="353"/>
      <c r="I292" s="356">
        <v>45485</v>
      </c>
      <c r="J292" s="356">
        <v>45485</v>
      </c>
      <c r="K292" s="354"/>
    </row>
    <row r="293" spans="1:11">
      <c r="A293" s="353">
        <v>291</v>
      </c>
      <c r="B293" s="354" t="s">
        <v>503</v>
      </c>
      <c r="C293" s="354">
        <v>8976682221</v>
      </c>
      <c r="D293" s="355" t="s">
        <v>506</v>
      </c>
      <c r="E293" s="356">
        <v>45509</v>
      </c>
      <c r="F293" s="361" t="s">
        <v>8</v>
      </c>
      <c r="G293" s="353"/>
      <c r="H293" s="353"/>
      <c r="I293" s="356">
        <v>45484</v>
      </c>
      <c r="J293" s="356">
        <v>45484</v>
      </c>
      <c r="K293" s="354"/>
    </row>
    <row r="294" spans="1:11">
      <c r="A294" s="353">
        <v>292</v>
      </c>
      <c r="B294" s="354" t="s">
        <v>497</v>
      </c>
      <c r="C294" s="354">
        <v>7551909290</v>
      </c>
      <c r="D294" s="355" t="s">
        <v>507</v>
      </c>
      <c r="E294" s="356">
        <v>45530</v>
      </c>
      <c r="F294" s="361" t="s">
        <v>8</v>
      </c>
      <c r="G294" s="353"/>
      <c r="H294" s="353"/>
      <c r="I294" s="356">
        <v>45495</v>
      </c>
      <c r="J294" s="356">
        <v>45495</v>
      </c>
      <c r="K294" s="354"/>
    </row>
    <row r="295" spans="1:11">
      <c r="A295" s="353">
        <v>293</v>
      </c>
      <c r="B295" s="354" t="s">
        <v>497</v>
      </c>
      <c r="C295" s="354">
        <v>7552078840</v>
      </c>
      <c r="D295" s="355" t="s">
        <v>508</v>
      </c>
      <c r="E295" s="356">
        <v>45530</v>
      </c>
      <c r="F295" s="361" t="s">
        <v>8</v>
      </c>
      <c r="G295" s="353"/>
      <c r="H295" s="353"/>
      <c r="I295" s="356">
        <v>45492</v>
      </c>
      <c r="J295" s="356">
        <v>45495</v>
      </c>
      <c r="K295" s="354"/>
    </row>
    <row r="296" spans="1:11">
      <c r="A296" s="353">
        <v>294</v>
      </c>
      <c r="B296" s="354" t="s">
        <v>486</v>
      </c>
      <c r="C296" s="354">
        <v>7551945784</v>
      </c>
      <c r="D296" s="355" t="s">
        <v>247</v>
      </c>
      <c r="E296" s="356">
        <v>45537</v>
      </c>
      <c r="F296" s="361" t="s">
        <v>8</v>
      </c>
      <c r="G296" s="353"/>
      <c r="H296" s="353"/>
      <c r="I296" s="356">
        <v>45498</v>
      </c>
      <c r="J296" s="356">
        <v>45503</v>
      </c>
      <c r="K296" s="354"/>
    </row>
    <row r="297" spans="1:11">
      <c r="A297" s="353">
        <v>295</v>
      </c>
      <c r="B297" s="354" t="s">
        <v>486</v>
      </c>
      <c r="C297" s="354">
        <v>7551946194</v>
      </c>
      <c r="D297" s="355" t="s">
        <v>247</v>
      </c>
      <c r="E297" s="356">
        <v>45537</v>
      </c>
      <c r="F297" s="361" t="s">
        <v>8</v>
      </c>
      <c r="G297" s="353"/>
      <c r="H297" s="353"/>
      <c r="I297" s="356">
        <v>45498</v>
      </c>
      <c r="J297" s="356">
        <v>45503</v>
      </c>
      <c r="K297" s="354"/>
    </row>
    <row r="298" spans="1:11">
      <c r="A298" s="353">
        <v>296</v>
      </c>
      <c r="B298" s="354" t="s">
        <v>503</v>
      </c>
      <c r="C298" s="354">
        <v>7551960820</v>
      </c>
      <c r="D298" s="372" t="s">
        <v>277</v>
      </c>
      <c r="E298" s="356">
        <v>45537</v>
      </c>
      <c r="F298" s="361" t="s">
        <v>8</v>
      </c>
      <c r="G298" s="353"/>
      <c r="H298" s="353"/>
      <c r="I298" s="356">
        <v>45492</v>
      </c>
      <c r="J298" s="356">
        <v>45496</v>
      </c>
      <c r="K298" s="354"/>
    </row>
    <row r="299" spans="1:11">
      <c r="A299" s="353">
        <v>297</v>
      </c>
      <c r="B299" s="354" t="s">
        <v>497</v>
      </c>
      <c r="C299" s="369">
        <v>7552078360</v>
      </c>
      <c r="D299" s="355" t="s">
        <v>509</v>
      </c>
      <c r="E299" s="356">
        <v>45537</v>
      </c>
      <c r="F299" s="361" t="s">
        <v>8</v>
      </c>
      <c r="G299" s="353"/>
      <c r="H299" s="353"/>
      <c r="I299" s="356">
        <v>45279</v>
      </c>
      <c r="J299" s="356">
        <v>45524</v>
      </c>
      <c r="K299" s="354"/>
    </row>
    <row r="300" spans="1:11">
      <c r="A300" s="370">
        <v>298</v>
      </c>
      <c r="B300" s="369" t="s">
        <v>484</v>
      </c>
      <c r="C300" s="369">
        <v>7552187480</v>
      </c>
      <c r="D300" s="372" t="s">
        <v>298</v>
      </c>
      <c r="E300" s="356">
        <v>45544</v>
      </c>
      <c r="F300" s="361" t="s">
        <v>8</v>
      </c>
      <c r="G300" s="353"/>
      <c r="H300" s="353"/>
      <c r="I300" s="356">
        <v>45524</v>
      </c>
      <c r="J300" s="356">
        <v>45526</v>
      </c>
      <c r="K300" s="354"/>
    </row>
    <row r="301" spans="1:11">
      <c r="A301" s="370">
        <v>299</v>
      </c>
      <c r="B301" s="369" t="s">
        <v>497</v>
      </c>
      <c r="C301" s="369">
        <v>8978312810</v>
      </c>
      <c r="D301" s="372" t="s">
        <v>11</v>
      </c>
      <c r="E301" s="356">
        <v>45544</v>
      </c>
      <c r="F301" s="361" t="s">
        <v>8</v>
      </c>
      <c r="G301" s="353"/>
      <c r="H301" s="353"/>
      <c r="I301" s="356">
        <v>45511</v>
      </c>
      <c r="J301" s="356">
        <v>45511</v>
      </c>
      <c r="K301" s="354"/>
    </row>
    <row r="302" spans="1:11">
      <c r="A302" s="353">
        <v>300</v>
      </c>
      <c r="B302" s="354" t="s">
        <v>486</v>
      </c>
      <c r="C302" s="354">
        <v>8978749113</v>
      </c>
      <c r="D302" s="355" t="s">
        <v>510</v>
      </c>
      <c r="E302" s="356">
        <v>45544</v>
      </c>
      <c r="F302" s="361" t="s">
        <v>511</v>
      </c>
      <c r="G302" s="353"/>
      <c r="H302" s="353"/>
      <c r="I302" s="356">
        <v>45541</v>
      </c>
      <c r="J302" s="356">
        <v>45541</v>
      </c>
      <c r="K302" s="354"/>
    </row>
    <row r="303" spans="1:11">
      <c r="A303" s="353">
        <v>301</v>
      </c>
      <c r="B303" s="354" t="s">
        <v>497</v>
      </c>
      <c r="C303" s="354">
        <v>7551885502</v>
      </c>
      <c r="D303" s="355" t="s">
        <v>512</v>
      </c>
      <c r="E303" s="356">
        <v>45551</v>
      </c>
      <c r="F303" s="361" t="s">
        <v>8</v>
      </c>
      <c r="G303" s="353"/>
      <c r="H303" s="353"/>
      <c r="I303" s="356">
        <v>45534</v>
      </c>
      <c r="J303" s="356">
        <v>45538</v>
      </c>
      <c r="K303" s="354"/>
    </row>
    <row r="304" spans="1:11">
      <c r="A304" s="370">
        <v>302</v>
      </c>
      <c r="B304" s="369" t="s">
        <v>484</v>
      </c>
      <c r="C304" s="369">
        <v>7552165081</v>
      </c>
      <c r="D304" s="372" t="s">
        <v>287</v>
      </c>
      <c r="E304" s="356">
        <v>45551</v>
      </c>
      <c r="F304" s="361" t="s">
        <v>8</v>
      </c>
      <c r="G304" s="353"/>
      <c r="H304" s="353"/>
      <c r="I304" s="356">
        <v>45524</v>
      </c>
      <c r="J304" s="356">
        <v>45526</v>
      </c>
      <c r="K304" s="354"/>
    </row>
    <row r="305" spans="1:11">
      <c r="A305" s="353">
        <v>303</v>
      </c>
      <c r="B305" s="354" t="s">
        <v>484</v>
      </c>
      <c r="C305" s="354">
        <v>7552165742</v>
      </c>
      <c r="D305" s="355" t="s">
        <v>287</v>
      </c>
      <c r="E305" s="356">
        <v>45551</v>
      </c>
      <c r="F305" s="361" t="s">
        <v>8</v>
      </c>
      <c r="G305" s="353"/>
      <c r="H305" s="353"/>
      <c r="I305" s="356">
        <v>45541</v>
      </c>
      <c r="J305" s="356">
        <v>45541</v>
      </c>
      <c r="K305" s="354"/>
    </row>
    <row r="306" spans="1:11">
      <c r="A306" s="353">
        <v>304</v>
      </c>
      <c r="B306" s="354" t="s">
        <v>484</v>
      </c>
      <c r="C306" s="354">
        <v>7552418181</v>
      </c>
      <c r="D306" s="355" t="s">
        <v>287</v>
      </c>
      <c r="E306" s="356">
        <v>45551</v>
      </c>
      <c r="F306" s="361" t="s">
        <v>8</v>
      </c>
      <c r="G306" s="353"/>
      <c r="H306" s="353"/>
      <c r="I306" s="356">
        <v>45541</v>
      </c>
      <c r="J306" s="356">
        <v>45541</v>
      </c>
      <c r="K306" s="354"/>
    </row>
    <row r="307" spans="1:11">
      <c r="A307" s="353">
        <v>305</v>
      </c>
      <c r="B307" s="354" t="s">
        <v>486</v>
      </c>
      <c r="C307" s="354">
        <v>7552312300</v>
      </c>
      <c r="D307" s="355" t="s">
        <v>513</v>
      </c>
      <c r="E307" s="356">
        <v>45552</v>
      </c>
      <c r="F307" s="361" t="s">
        <v>8</v>
      </c>
      <c r="G307" s="353"/>
      <c r="H307" s="353"/>
      <c r="I307" s="356">
        <v>45506</v>
      </c>
      <c r="J307" s="356">
        <v>45506</v>
      </c>
      <c r="K307" s="354"/>
    </row>
    <row r="308" spans="1:11">
      <c r="A308" s="353">
        <v>306</v>
      </c>
      <c r="B308" s="354" t="s">
        <v>486</v>
      </c>
      <c r="C308" s="354">
        <v>7552312320</v>
      </c>
      <c r="D308" s="355" t="s">
        <v>513</v>
      </c>
      <c r="E308" s="356">
        <v>45552</v>
      </c>
      <c r="F308" s="361" t="s">
        <v>8</v>
      </c>
      <c r="G308" s="353"/>
      <c r="H308" s="353"/>
      <c r="I308" s="356">
        <v>45527</v>
      </c>
      <c r="J308" s="356">
        <v>45527</v>
      </c>
      <c r="K308" s="354"/>
    </row>
    <row r="309" spans="1:11">
      <c r="A309" s="353">
        <v>307</v>
      </c>
      <c r="B309" s="354" t="s">
        <v>486</v>
      </c>
      <c r="C309" s="354">
        <v>7552313270</v>
      </c>
      <c r="D309" s="355" t="s">
        <v>513</v>
      </c>
      <c r="E309" s="356">
        <v>45552</v>
      </c>
      <c r="F309" s="361" t="s">
        <v>8</v>
      </c>
      <c r="G309" s="353"/>
      <c r="H309" s="353"/>
      <c r="I309" s="356">
        <v>45527</v>
      </c>
      <c r="J309" s="356">
        <v>45527</v>
      </c>
      <c r="K309" s="354"/>
    </row>
    <row r="310" spans="1:11">
      <c r="A310" s="353">
        <v>308</v>
      </c>
      <c r="B310" s="354" t="s">
        <v>497</v>
      </c>
      <c r="C310" s="354">
        <v>7551945991</v>
      </c>
      <c r="D310" s="355" t="s">
        <v>514</v>
      </c>
      <c r="E310" s="356">
        <v>45558</v>
      </c>
      <c r="F310" s="361" t="s">
        <v>8</v>
      </c>
      <c r="G310" s="353"/>
      <c r="H310" s="353"/>
      <c r="I310" s="356">
        <v>45506</v>
      </c>
      <c r="J310" s="356">
        <v>45506</v>
      </c>
      <c r="K310" s="354"/>
    </row>
    <row r="311" spans="1:11">
      <c r="A311" s="353">
        <v>309</v>
      </c>
      <c r="B311" s="354" t="s">
        <v>497</v>
      </c>
      <c r="C311" s="354">
        <v>7552127012</v>
      </c>
      <c r="D311" s="355" t="s">
        <v>515</v>
      </c>
      <c r="E311" s="356">
        <v>45558</v>
      </c>
      <c r="F311" s="361" t="s">
        <v>8</v>
      </c>
      <c r="G311" s="353"/>
      <c r="H311" s="353"/>
      <c r="I311" s="356">
        <v>45506</v>
      </c>
      <c r="J311" s="356">
        <v>45510</v>
      </c>
      <c r="K311" s="354"/>
    </row>
    <row r="312" spans="1:11">
      <c r="A312" s="370">
        <v>310</v>
      </c>
      <c r="B312" s="369" t="s">
        <v>484</v>
      </c>
      <c r="C312" s="369">
        <v>7552164961</v>
      </c>
      <c r="D312" s="369" t="s">
        <v>287</v>
      </c>
      <c r="E312" s="356">
        <v>45558</v>
      </c>
      <c r="F312" s="361" t="s">
        <v>8</v>
      </c>
      <c r="G312" s="353"/>
      <c r="H312" s="353"/>
      <c r="I312" s="356">
        <v>45527</v>
      </c>
      <c r="J312" s="356">
        <v>45527</v>
      </c>
      <c r="K312" s="354"/>
    </row>
    <row r="313" spans="1:11">
      <c r="A313" s="370">
        <v>311</v>
      </c>
      <c r="B313" s="369" t="s">
        <v>484</v>
      </c>
      <c r="C313" s="369">
        <v>7552165161</v>
      </c>
      <c r="D313" s="369" t="s">
        <v>287</v>
      </c>
      <c r="E313" s="356">
        <v>45558</v>
      </c>
      <c r="F313" s="361" t="s">
        <v>8</v>
      </c>
      <c r="G313" s="353"/>
      <c r="H313" s="353"/>
      <c r="I313" s="356">
        <v>45524</v>
      </c>
      <c r="J313" s="356">
        <v>45526</v>
      </c>
      <c r="K313" s="354"/>
    </row>
    <row r="314" spans="1:11">
      <c r="A314" s="370">
        <v>312</v>
      </c>
      <c r="B314" s="369" t="s">
        <v>484</v>
      </c>
      <c r="C314" s="369">
        <v>7552165181</v>
      </c>
      <c r="D314" s="369" t="s">
        <v>287</v>
      </c>
      <c r="E314" s="356">
        <v>45558</v>
      </c>
      <c r="F314" s="361" t="s">
        <v>8</v>
      </c>
      <c r="G314" s="353"/>
      <c r="H314" s="353"/>
      <c r="I314" s="356">
        <v>45511</v>
      </c>
      <c r="J314" s="356">
        <v>45511</v>
      </c>
      <c r="K314" s="354"/>
    </row>
    <row r="315" spans="1:11">
      <c r="A315" s="370">
        <v>313</v>
      </c>
      <c r="B315" s="369" t="s">
        <v>484</v>
      </c>
      <c r="C315" s="369">
        <v>7552165461</v>
      </c>
      <c r="D315" s="369" t="s">
        <v>287</v>
      </c>
      <c r="E315" s="356">
        <v>45558</v>
      </c>
      <c r="F315" s="361" t="s">
        <v>8</v>
      </c>
      <c r="G315" s="353"/>
      <c r="H315" s="353"/>
      <c r="I315" s="356">
        <v>45511</v>
      </c>
      <c r="J315" s="356">
        <v>45511</v>
      </c>
      <c r="K315" s="354"/>
    </row>
    <row r="316" spans="1:11">
      <c r="A316" s="370">
        <v>314</v>
      </c>
      <c r="B316" s="369" t="s">
        <v>484</v>
      </c>
      <c r="C316" s="369">
        <v>7552165481</v>
      </c>
      <c r="D316" s="369" t="s">
        <v>287</v>
      </c>
      <c r="E316" s="356">
        <v>45558</v>
      </c>
      <c r="F316" s="361" t="s">
        <v>8</v>
      </c>
      <c r="G316" s="353"/>
      <c r="H316" s="353"/>
      <c r="I316" s="356">
        <v>45524</v>
      </c>
      <c r="J316" s="356">
        <v>45526</v>
      </c>
      <c r="K316" s="354"/>
    </row>
    <row r="317" spans="1:11">
      <c r="A317" s="374">
        <v>315</v>
      </c>
      <c r="B317" s="375" t="s">
        <v>497</v>
      </c>
      <c r="C317" s="375">
        <v>7552222861</v>
      </c>
      <c r="D317" s="375" t="s">
        <v>516</v>
      </c>
      <c r="E317" s="376">
        <v>45558</v>
      </c>
      <c r="F317" s="377" t="s">
        <v>8</v>
      </c>
      <c r="G317" s="378"/>
      <c r="H317" s="378"/>
      <c r="I317" s="376">
        <v>45538</v>
      </c>
      <c r="J317" s="376">
        <v>45538</v>
      </c>
      <c r="K317" s="379"/>
    </row>
    <row r="318" spans="1:11">
      <c r="A318" s="353">
        <v>316</v>
      </c>
      <c r="B318" s="354" t="s">
        <v>484</v>
      </c>
      <c r="C318" s="354">
        <v>7552472781</v>
      </c>
      <c r="D318" s="355" t="s">
        <v>287</v>
      </c>
      <c r="E318" s="356">
        <v>45558</v>
      </c>
      <c r="F318" s="361" t="s">
        <v>8</v>
      </c>
      <c r="G318" s="353"/>
      <c r="H318" s="353"/>
      <c r="I318" s="356">
        <v>45546</v>
      </c>
      <c r="J318" s="356">
        <v>45546</v>
      </c>
      <c r="K318" s="354"/>
    </row>
    <row r="319" spans="1:11">
      <c r="A319" s="353">
        <v>317</v>
      </c>
      <c r="B319" s="354" t="s">
        <v>497</v>
      </c>
      <c r="C319" s="354">
        <v>8976486570</v>
      </c>
      <c r="D319" s="355" t="s">
        <v>517</v>
      </c>
      <c r="E319" s="356">
        <v>45558</v>
      </c>
      <c r="F319" s="361" t="s">
        <v>8</v>
      </c>
      <c r="G319" s="353"/>
      <c r="H319" s="353"/>
      <c r="I319" s="356">
        <v>45542</v>
      </c>
      <c r="J319" s="356">
        <v>45542</v>
      </c>
      <c r="K319" s="354"/>
    </row>
    <row r="320" spans="1:11">
      <c r="A320" s="353">
        <v>318</v>
      </c>
      <c r="B320" s="354" t="s">
        <v>497</v>
      </c>
      <c r="C320" s="354">
        <v>8976659981</v>
      </c>
      <c r="D320" s="355" t="s">
        <v>518</v>
      </c>
      <c r="E320" s="356">
        <v>45558</v>
      </c>
      <c r="F320" s="361" t="s">
        <v>8</v>
      </c>
      <c r="G320" s="353"/>
      <c r="H320" s="353"/>
      <c r="I320" s="356">
        <v>45503</v>
      </c>
      <c r="J320" s="356">
        <v>45504</v>
      </c>
      <c r="K320" s="354"/>
    </row>
    <row r="321" spans="1:11">
      <c r="A321" s="353">
        <v>319</v>
      </c>
      <c r="B321" s="354" t="s">
        <v>497</v>
      </c>
      <c r="C321" s="354">
        <v>8976660022</v>
      </c>
      <c r="D321" s="355" t="s">
        <v>518</v>
      </c>
      <c r="E321" s="356">
        <v>45558</v>
      </c>
      <c r="F321" s="361" t="s">
        <v>8</v>
      </c>
      <c r="G321" s="353"/>
      <c r="H321" s="353"/>
      <c r="I321" s="356">
        <v>45503</v>
      </c>
      <c r="J321" s="356">
        <v>45504</v>
      </c>
      <c r="K321" s="354"/>
    </row>
    <row r="322" spans="1:11">
      <c r="A322" s="370">
        <v>320</v>
      </c>
      <c r="B322" s="369" t="s">
        <v>484</v>
      </c>
      <c r="C322" s="369">
        <v>8978431050</v>
      </c>
      <c r="D322" s="372" t="s">
        <v>289</v>
      </c>
      <c r="E322" s="356">
        <v>45558</v>
      </c>
      <c r="F322" s="361" t="s">
        <v>8</v>
      </c>
      <c r="G322" s="353"/>
      <c r="H322" s="353"/>
      <c r="I322" s="356">
        <v>45511</v>
      </c>
      <c r="J322" s="356">
        <v>45511</v>
      </c>
      <c r="K322" s="354"/>
    </row>
    <row r="323" spans="1:11">
      <c r="A323" s="353">
        <v>321</v>
      </c>
      <c r="B323" s="354" t="s">
        <v>486</v>
      </c>
      <c r="C323" s="354">
        <v>7552225300</v>
      </c>
      <c r="D323" s="372" t="s">
        <v>237</v>
      </c>
      <c r="E323" s="356">
        <v>45560</v>
      </c>
      <c r="F323" s="361" t="s">
        <v>476</v>
      </c>
      <c r="G323" s="353"/>
      <c r="H323" s="353"/>
      <c r="I323" s="356">
        <v>45548</v>
      </c>
      <c r="J323" s="356">
        <v>45548</v>
      </c>
      <c r="K323" s="354"/>
    </row>
    <row r="324" spans="1:11">
      <c r="A324" s="353">
        <v>322</v>
      </c>
      <c r="B324" s="354" t="s">
        <v>486</v>
      </c>
      <c r="C324" s="369" t="s">
        <v>519</v>
      </c>
      <c r="D324" s="381" t="s">
        <v>520</v>
      </c>
      <c r="E324" s="356">
        <v>45560</v>
      </c>
      <c r="F324" s="361" t="s">
        <v>476</v>
      </c>
      <c r="G324" s="353"/>
      <c r="H324" s="353"/>
      <c r="I324" s="356">
        <v>45554</v>
      </c>
      <c r="J324" s="356"/>
      <c r="K324" s="354"/>
    </row>
    <row r="325" spans="1:11">
      <c r="A325" s="353">
        <v>323</v>
      </c>
      <c r="B325" s="354" t="s">
        <v>486</v>
      </c>
      <c r="C325" s="354" t="s">
        <v>521</v>
      </c>
      <c r="D325" s="381" t="s">
        <v>522</v>
      </c>
      <c r="E325" s="356">
        <v>45560</v>
      </c>
      <c r="F325" s="361" t="s">
        <v>476</v>
      </c>
      <c r="G325" s="353"/>
      <c r="H325" s="353"/>
      <c r="I325" s="356">
        <v>45554</v>
      </c>
      <c r="J325" s="356"/>
      <c r="K325" s="354"/>
    </row>
    <row r="326" spans="1:11">
      <c r="A326" s="353">
        <v>324</v>
      </c>
      <c r="B326" s="354" t="s">
        <v>484</v>
      </c>
      <c r="C326" s="354">
        <v>7552138863</v>
      </c>
      <c r="D326" s="355" t="s">
        <v>287</v>
      </c>
      <c r="E326" s="356">
        <v>45565</v>
      </c>
      <c r="F326" s="361" t="s">
        <v>8</v>
      </c>
      <c r="G326" s="353"/>
      <c r="H326" s="353"/>
      <c r="I326" s="356">
        <v>45554</v>
      </c>
      <c r="J326" s="356">
        <v>45554</v>
      </c>
      <c r="K326" s="354"/>
    </row>
    <row r="327" spans="1:11">
      <c r="A327" s="353">
        <v>325</v>
      </c>
      <c r="B327" s="354" t="s">
        <v>484</v>
      </c>
      <c r="C327" s="354">
        <v>7552166023</v>
      </c>
      <c r="D327" s="355" t="s">
        <v>287</v>
      </c>
      <c r="E327" s="356">
        <v>45565</v>
      </c>
      <c r="F327" s="361" t="s">
        <v>476</v>
      </c>
      <c r="G327" s="353"/>
      <c r="H327" s="353"/>
      <c r="I327" s="356">
        <v>45546</v>
      </c>
      <c r="J327" s="356">
        <v>45546</v>
      </c>
      <c r="K327" s="354"/>
    </row>
    <row r="328" spans="1:11">
      <c r="A328" s="353">
        <v>326</v>
      </c>
      <c r="B328" s="354" t="s">
        <v>484</v>
      </c>
      <c r="C328" s="354">
        <v>7552166072</v>
      </c>
      <c r="D328" s="355" t="s">
        <v>287</v>
      </c>
      <c r="E328" s="356">
        <v>45565</v>
      </c>
      <c r="F328" s="361" t="s">
        <v>476</v>
      </c>
      <c r="G328" s="353"/>
      <c r="H328" s="353"/>
      <c r="I328" s="356">
        <v>45546</v>
      </c>
      <c r="J328" s="356">
        <v>45546</v>
      </c>
      <c r="K328" s="354"/>
    </row>
    <row r="329" spans="1:11">
      <c r="A329" s="353">
        <v>327</v>
      </c>
      <c r="B329" s="354" t="s">
        <v>486</v>
      </c>
      <c r="C329" s="354">
        <v>7552208400</v>
      </c>
      <c r="D329" s="355" t="s">
        <v>237</v>
      </c>
      <c r="E329" s="356">
        <v>45565</v>
      </c>
      <c r="F329" s="361" t="s">
        <v>8</v>
      </c>
      <c r="G329" s="353"/>
      <c r="H329" s="353"/>
      <c r="I329" s="356">
        <v>45495</v>
      </c>
      <c r="J329" s="356">
        <v>45495</v>
      </c>
      <c r="K329" s="354"/>
    </row>
    <row r="330" spans="1:11">
      <c r="A330" s="353">
        <v>328</v>
      </c>
      <c r="B330" s="354" t="s">
        <v>484</v>
      </c>
      <c r="C330" s="354">
        <v>7552418051</v>
      </c>
      <c r="D330" s="355" t="s">
        <v>287</v>
      </c>
      <c r="E330" s="356">
        <v>45565</v>
      </c>
      <c r="F330" s="361" t="s">
        <v>8</v>
      </c>
      <c r="G330" s="353"/>
      <c r="H330" s="353"/>
      <c r="I330" s="356">
        <v>45546</v>
      </c>
      <c r="J330" s="356">
        <v>45546</v>
      </c>
      <c r="K330" s="354"/>
    </row>
    <row r="331" spans="1:11">
      <c r="A331" s="353">
        <v>329</v>
      </c>
      <c r="B331" s="354" t="s">
        <v>484</v>
      </c>
      <c r="C331" s="354">
        <v>7552418072</v>
      </c>
      <c r="D331" s="355" t="s">
        <v>287</v>
      </c>
      <c r="E331" s="356">
        <v>45565</v>
      </c>
      <c r="F331" s="361" t="s">
        <v>476</v>
      </c>
      <c r="G331" s="353"/>
      <c r="H331" s="353"/>
      <c r="I331" s="356">
        <v>45554</v>
      </c>
      <c r="J331" s="356">
        <v>45554</v>
      </c>
      <c r="K331" s="354"/>
    </row>
    <row r="332" spans="1:11">
      <c r="A332" s="353">
        <v>330</v>
      </c>
      <c r="B332" s="354" t="s">
        <v>484</v>
      </c>
      <c r="C332" s="369">
        <v>7552418100</v>
      </c>
      <c r="D332" s="372" t="s">
        <v>287</v>
      </c>
      <c r="E332" s="356">
        <v>45565</v>
      </c>
      <c r="F332" s="361" t="s">
        <v>476</v>
      </c>
      <c r="G332" s="353"/>
      <c r="H332" s="353"/>
      <c r="I332" s="356">
        <v>45547</v>
      </c>
      <c r="J332" s="356">
        <v>45547</v>
      </c>
      <c r="K332" s="354"/>
    </row>
    <row r="333" spans="1:11">
      <c r="A333" s="353">
        <v>331</v>
      </c>
      <c r="B333" s="354" t="s">
        <v>484</v>
      </c>
      <c r="C333" s="354">
        <v>7552418101</v>
      </c>
      <c r="D333" s="355" t="s">
        <v>287</v>
      </c>
      <c r="E333" s="356">
        <v>45565</v>
      </c>
      <c r="F333" s="361" t="s">
        <v>476</v>
      </c>
      <c r="G333" s="353"/>
      <c r="H333" s="353"/>
      <c r="I333" s="356">
        <v>45546</v>
      </c>
      <c r="J333" s="356">
        <v>45546</v>
      </c>
      <c r="K333" s="354"/>
    </row>
    <row r="334" spans="1:11">
      <c r="A334" s="353">
        <v>332</v>
      </c>
      <c r="B334" s="354" t="s">
        <v>484</v>
      </c>
      <c r="C334" s="354">
        <v>7552418141</v>
      </c>
      <c r="D334" s="355" t="s">
        <v>287</v>
      </c>
      <c r="E334" s="356">
        <v>45565</v>
      </c>
      <c r="F334" s="361" t="s">
        <v>476</v>
      </c>
      <c r="G334" s="353"/>
      <c r="H334" s="353"/>
      <c r="I334" s="356">
        <v>45554</v>
      </c>
      <c r="J334" s="356">
        <v>45554</v>
      </c>
      <c r="K334" s="354"/>
    </row>
    <row r="335" spans="1:11">
      <c r="A335" s="353">
        <v>333</v>
      </c>
      <c r="B335" s="354" t="s">
        <v>484</v>
      </c>
      <c r="C335" s="369">
        <v>7552418170</v>
      </c>
      <c r="D335" s="372" t="s">
        <v>287</v>
      </c>
      <c r="E335" s="356">
        <v>45565</v>
      </c>
      <c r="F335" s="361" t="s">
        <v>476</v>
      </c>
      <c r="G335" s="353"/>
      <c r="H335" s="353"/>
      <c r="I335" s="356">
        <v>45547</v>
      </c>
      <c r="J335" s="356">
        <v>45547</v>
      </c>
      <c r="K335" s="354"/>
    </row>
    <row r="336" spans="1:11">
      <c r="A336" s="353">
        <v>334</v>
      </c>
      <c r="B336" s="354" t="s">
        <v>484</v>
      </c>
      <c r="C336" s="354">
        <v>7552418171</v>
      </c>
      <c r="D336" s="355" t="s">
        <v>287</v>
      </c>
      <c r="E336" s="356">
        <v>45565</v>
      </c>
      <c r="F336" s="361" t="s">
        <v>476</v>
      </c>
      <c r="G336" s="353"/>
      <c r="H336" s="353"/>
      <c r="I336" s="356">
        <v>45546</v>
      </c>
      <c r="J336" s="356">
        <v>45546</v>
      </c>
      <c r="K336" s="354"/>
    </row>
    <row r="337" spans="1:12">
      <c r="A337" s="353">
        <v>335</v>
      </c>
      <c r="B337" s="354" t="s">
        <v>486</v>
      </c>
      <c r="C337" s="354">
        <v>8972681121</v>
      </c>
      <c r="D337" s="355" t="s">
        <v>256</v>
      </c>
      <c r="E337" s="356">
        <v>45565</v>
      </c>
      <c r="F337" s="361" t="s">
        <v>8</v>
      </c>
      <c r="G337" s="353"/>
      <c r="H337" s="353"/>
      <c r="I337" s="356">
        <v>45495</v>
      </c>
      <c r="J337" s="356">
        <v>45495</v>
      </c>
      <c r="K337" s="354"/>
    </row>
    <row r="338" spans="1:12">
      <c r="A338" s="353">
        <v>336</v>
      </c>
      <c r="B338" s="354" t="s">
        <v>486</v>
      </c>
      <c r="C338" s="354">
        <v>8972760031</v>
      </c>
      <c r="D338" s="355" t="s">
        <v>243</v>
      </c>
      <c r="E338" s="356">
        <v>45565</v>
      </c>
      <c r="F338" s="361" t="s">
        <v>8</v>
      </c>
      <c r="G338" s="353"/>
      <c r="H338" s="353"/>
      <c r="I338" s="356">
        <v>45495</v>
      </c>
      <c r="J338" s="356">
        <v>45495</v>
      </c>
      <c r="K338" s="354"/>
    </row>
    <row r="339" spans="1:12">
      <c r="A339" s="353">
        <v>337</v>
      </c>
      <c r="B339" s="354" t="s">
        <v>497</v>
      </c>
      <c r="C339" s="354">
        <v>8978312942</v>
      </c>
      <c r="D339" s="355" t="s">
        <v>523</v>
      </c>
      <c r="E339" s="356">
        <v>45565</v>
      </c>
      <c r="F339" s="361" t="s">
        <v>8</v>
      </c>
      <c r="G339" s="353"/>
      <c r="H339" s="353"/>
      <c r="I339" s="356">
        <v>45525</v>
      </c>
      <c r="J339" s="356">
        <v>45526</v>
      </c>
      <c r="K339" s="354"/>
    </row>
    <row r="340" spans="1:12">
      <c r="A340" s="353">
        <v>338</v>
      </c>
      <c r="B340" s="354" t="s">
        <v>497</v>
      </c>
      <c r="C340" s="354">
        <v>8978312962</v>
      </c>
      <c r="D340" s="355" t="s">
        <v>523</v>
      </c>
      <c r="E340" s="356">
        <v>45565</v>
      </c>
      <c r="F340" s="361" t="s">
        <v>8</v>
      </c>
      <c r="G340" s="353"/>
      <c r="H340" s="353"/>
      <c r="I340" s="356">
        <v>45525</v>
      </c>
      <c r="J340" s="356">
        <v>45526</v>
      </c>
      <c r="K340" s="354"/>
    </row>
    <row r="341" spans="1:12">
      <c r="A341" s="353">
        <v>339</v>
      </c>
      <c r="B341" s="354" t="s">
        <v>497</v>
      </c>
      <c r="C341" s="354">
        <v>8978794383</v>
      </c>
      <c r="D341" s="355" t="s">
        <v>257</v>
      </c>
      <c r="E341" s="356">
        <v>45572</v>
      </c>
      <c r="F341" s="361" t="s">
        <v>8</v>
      </c>
      <c r="G341" s="353"/>
      <c r="H341" s="353"/>
      <c r="I341" s="356">
        <v>45534</v>
      </c>
      <c r="J341" s="356">
        <v>45538</v>
      </c>
      <c r="K341" s="354"/>
    </row>
    <row r="342" spans="1:12">
      <c r="A342" s="353">
        <v>340</v>
      </c>
      <c r="B342" s="354" t="s">
        <v>497</v>
      </c>
      <c r="C342" s="354">
        <v>8978794873</v>
      </c>
      <c r="D342" s="355" t="s">
        <v>257</v>
      </c>
      <c r="E342" s="356">
        <v>45572</v>
      </c>
      <c r="F342" s="361" t="s">
        <v>8</v>
      </c>
      <c r="G342" s="353"/>
      <c r="H342" s="353"/>
      <c r="I342" s="356">
        <v>45525</v>
      </c>
      <c r="J342" s="356">
        <v>45526</v>
      </c>
      <c r="K342" s="354"/>
    </row>
    <row r="343" spans="1:12">
      <c r="A343" s="370">
        <v>341</v>
      </c>
      <c r="B343" s="369" t="s">
        <v>484</v>
      </c>
      <c r="C343" s="354">
        <v>7552165082</v>
      </c>
      <c r="D343" s="355" t="s">
        <v>524</v>
      </c>
      <c r="E343" s="356">
        <v>45586</v>
      </c>
      <c r="F343" s="361" t="s">
        <v>476</v>
      </c>
      <c r="G343" s="353"/>
      <c r="H343" s="353"/>
      <c r="I343" s="356">
        <v>45567</v>
      </c>
      <c r="J343" s="356">
        <v>45567</v>
      </c>
      <c r="K343" s="354"/>
    </row>
    <row r="344" spans="1:12">
      <c r="A344" s="353">
        <v>342</v>
      </c>
      <c r="B344" s="354" t="s">
        <v>486</v>
      </c>
      <c r="C344" s="354">
        <v>7552241160</v>
      </c>
      <c r="D344" s="381" t="s">
        <v>525</v>
      </c>
      <c r="E344" s="356">
        <v>45586</v>
      </c>
      <c r="F344" s="361" t="s">
        <v>476</v>
      </c>
      <c r="G344" s="353"/>
      <c r="H344" s="353"/>
      <c r="I344" s="356">
        <v>45558</v>
      </c>
      <c r="J344" s="356">
        <v>45559</v>
      </c>
      <c r="K344" s="354"/>
    </row>
    <row r="345" spans="1:12">
      <c r="A345" s="353">
        <v>343</v>
      </c>
      <c r="B345" s="354" t="s">
        <v>486</v>
      </c>
      <c r="C345" s="354">
        <v>8978749104</v>
      </c>
      <c r="D345" s="381" t="s">
        <v>526</v>
      </c>
      <c r="E345" s="356">
        <v>45586</v>
      </c>
      <c r="F345" s="361" t="s">
        <v>476</v>
      </c>
      <c r="G345" s="353"/>
      <c r="H345" s="353"/>
      <c r="I345" s="356">
        <v>45558</v>
      </c>
      <c r="J345" s="356">
        <v>45559</v>
      </c>
      <c r="K345" s="354"/>
    </row>
    <row r="346" spans="1:12">
      <c r="A346" s="353">
        <v>344</v>
      </c>
      <c r="B346" s="354" t="s">
        <v>486</v>
      </c>
      <c r="C346" s="354">
        <v>8978749114</v>
      </c>
      <c r="D346" s="381" t="s">
        <v>526</v>
      </c>
      <c r="E346" s="356">
        <v>45586</v>
      </c>
      <c r="F346" s="361" t="s">
        <v>476</v>
      </c>
      <c r="G346" s="353"/>
      <c r="H346" s="353"/>
      <c r="I346" s="356">
        <v>45558</v>
      </c>
      <c r="J346" s="356">
        <v>45559</v>
      </c>
      <c r="K346" s="354"/>
    </row>
    <row r="347" spans="1:12">
      <c r="A347" s="370">
        <v>345</v>
      </c>
      <c r="B347" s="369" t="s">
        <v>484</v>
      </c>
      <c r="C347" s="354">
        <v>7552301510</v>
      </c>
      <c r="D347" s="355"/>
      <c r="E347" s="356">
        <v>45593</v>
      </c>
      <c r="F347" s="361" t="s">
        <v>476</v>
      </c>
      <c r="G347" s="353"/>
      <c r="H347" s="353"/>
      <c r="I347" s="356">
        <v>45567</v>
      </c>
      <c r="J347" s="356">
        <v>45567</v>
      </c>
      <c r="K347" s="354"/>
    </row>
    <row r="348" spans="1:12">
      <c r="A348" s="370">
        <v>346</v>
      </c>
      <c r="B348" s="369" t="s">
        <v>484</v>
      </c>
      <c r="C348" s="354">
        <v>7552303540</v>
      </c>
      <c r="D348" s="382" t="s">
        <v>527</v>
      </c>
      <c r="E348" s="356">
        <v>45593</v>
      </c>
      <c r="F348" s="361" t="s">
        <v>511</v>
      </c>
      <c r="G348" s="353"/>
      <c r="H348" s="353"/>
      <c r="I348" s="356">
        <v>45581</v>
      </c>
      <c r="J348" s="356">
        <v>45582</v>
      </c>
      <c r="K348" s="354">
        <v>7552305430</v>
      </c>
      <c r="L348" s="383"/>
    </row>
    <row r="349" spans="1:12">
      <c r="A349" s="370">
        <v>347</v>
      </c>
      <c r="B349" s="369" t="s">
        <v>484</v>
      </c>
      <c r="C349" s="354">
        <v>7552305430</v>
      </c>
      <c r="D349" s="355"/>
      <c r="E349" s="356">
        <v>45593</v>
      </c>
      <c r="F349" s="361" t="s">
        <v>476</v>
      </c>
      <c r="G349" s="353"/>
      <c r="H349" s="353"/>
      <c r="I349" s="356">
        <v>45567</v>
      </c>
      <c r="J349" s="356">
        <v>45567</v>
      </c>
      <c r="K349" s="354"/>
    </row>
    <row r="350" spans="1:12">
      <c r="A350" s="370">
        <v>348</v>
      </c>
      <c r="B350" s="369" t="s">
        <v>484</v>
      </c>
      <c r="C350" s="354">
        <v>7552305480</v>
      </c>
      <c r="D350" s="355"/>
      <c r="E350" s="356">
        <v>45593</v>
      </c>
      <c r="F350" s="361" t="s">
        <v>476</v>
      </c>
      <c r="G350" s="353"/>
      <c r="H350" s="353"/>
      <c r="I350" s="356">
        <v>45567</v>
      </c>
      <c r="J350" s="356">
        <v>45567</v>
      </c>
      <c r="K350" s="354"/>
    </row>
    <row r="351" spans="1:12">
      <c r="A351" s="353">
        <v>349</v>
      </c>
      <c r="B351" s="354" t="s">
        <v>503</v>
      </c>
      <c r="C351" s="354">
        <v>7552412271</v>
      </c>
      <c r="D351" s="381" t="s">
        <v>528</v>
      </c>
      <c r="E351" s="356">
        <v>45593</v>
      </c>
      <c r="F351" s="361" t="s">
        <v>476</v>
      </c>
      <c r="G351" s="353"/>
      <c r="H351" s="353"/>
      <c r="I351" s="356">
        <v>45558</v>
      </c>
      <c r="J351" s="356">
        <v>45559</v>
      </c>
      <c r="K351" s="354"/>
    </row>
    <row r="352" spans="1:12">
      <c r="A352" s="353">
        <v>350</v>
      </c>
      <c r="B352" s="354" t="s">
        <v>486</v>
      </c>
      <c r="C352" s="354">
        <v>7552462680</v>
      </c>
      <c r="D352" s="381" t="s">
        <v>529</v>
      </c>
      <c r="E352" s="356">
        <v>45593</v>
      </c>
      <c r="F352" s="361" t="s">
        <v>511</v>
      </c>
      <c r="G352" s="353"/>
      <c r="H352" s="353"/>
      <c r="I352" s="356">
        <v>45569</v>
      </c>
      <c r="J352" s="356">
        <v>45569</v>
      </c>
      <c r="K352" s="354"/>
    </row>
    <row r="353" spans="1:11">
      <c r="A353" s="370">
        <v>351</v>
      </c>
      <c r="B353" s="369" t="s">
        <v>484</v>
      </c>
      <c r="C353" s="369">
        <v>7552418042</v>
      </c>
      <c r="D353" s="372" t="s">
        <v>287</v>
      </c>
      <c r="E353" s="356">
        <v>45599</v>
      </c>
      <c r="F353" s="353" t="s">
        <v>476</v>
      </c>
      <c r="G353" s="353"/>
      <c r="H353" s="353"/>
      <c r="I353" s="356">
        <v>45587</v>
      </c>
      <c r="J353" s="356">
        <v>45587</v>
      </c>
      <c r="K353" s="354">
        <v>7552418041</v>
      </c>
    </row>
    <row r="354" spans="1:11">
      <c r="A354" s="370">
        <v>352</v>
      </c>
      <c r="B354" s="369" t="s">
        <v>484</v>
      </c>
      <c r="C354" s="369">
        <v>7552165901</v>
      </c>
      <c r="D354" s="372" t="s">
        <v>287</v>
      </c>
      <c r="E354" s="356">
        <v>45600</v>
      </c>
      <c r="F354" s="361" t="s">
        <v>476</v>
      </c>
      <c r="G354" s="353"/>
      <c r="H354" s="353"/>
      <c r="I354" s="356">
        <v>45558</v>
      </c>
      <c r="J354" s="356"/>
      <c r="K354" s="354"/>
    </row>
    <row r="355" spans="1:11">
      <c r="A355" s="370">
        <v>353</v>
      </c>
      <c r="B355" s="369" t="s">
        <v>484</v>
      </c>
      <c r="C355" s="369">
        <v>7552166232</v>
      </c>
      <c r="D355" s="372" t="s">
        <v>287</v>
      </c>
      <c r="E355" s="356">
        <v>45600</v>
      </c>
      <c r="F355" s="361" t="s">
        <v>8</v>
      </c>
      <c r="G355" s="353"/>
      <c r="H355" s="353"/>
      <c r="I355" s="356">
        <v>45567</v>
      </c>
      <c r="J355" s="356">
        <v>45567</v>
      </c>
      <c r="K355" s="354"/>
    </row>
    <row r="356" spans="1:11">
      <c r="A356" s="370">
        <v>354</v>
      </c>
      <c r="B356" s="369" t="s">
        <v>484</v>
      </c>
      <c r="C356" s="369">
        <v>7552418041</v>
      </c>
      <c r="D356" s="372" t="s">
        <v>287</v>
      </c>
      <c r="E356" s="356">
        <v>45600</v>
      </c>
      <c r="F356" s="361" t="s">
        <v>476</v>
      </c>
      <c r="G356" s="353"/>
      <c r="H356" s="353"/>
      <c r="I356" s="356">
        <v>45558</v>
      </c>
      <c r="J356" s="356">
        <v>45559</v>
      </c>
      <c r="K356" s="354"/>
    </row>
    <row r="357" spans="1:11">
      <c r="A357" s="370">
        <v>355</v>
      </c>
      <c r="B357" s="369" t="s">
        <v>530</v>
      </c>
      <c r="C357" s="369">
        <v>7552434100</v>
      </c>
      <c r="D357" s="372" t="s">
        <v>293</v>
      </c>
      <c r="E357" s="356">
        <v>45600</v>
      </c>
      <c r="F357" s="361" t="s">
        <v>476</v>
      </c>
      <c r="G357" s="353"/>
      <c r="H357" s="353"/>
      <c r="I357" s="356">
        <v>45558</v>
      </c>
      <c r="J357" s="356">
        <v>45559</v>
      </c>
      <c r="K357" s="354"/>
    </row>
    <row r="358" spans="1:11">
      <c r="A358" s="370">
        <v>356</v>
      </c>
      <c r="B358" s="369" t="s">
        <v>503</v>
      </c>
      <c r="C358" s="369">
        <v>7552434120</v>
      </c>
      <c r="D358" s="372" t="s">
        <v>293</v>
      </c>
      <c r="E358" s="356">
        <v>45600</v>
      </c>
      <c r="F358" s="361" t="s">
        <v>476</v>
      </c>
      <c r="G358" s="353"/>
      <c r="H358" s="353"/>
      <c r="I358" s="356">
        <v>45607</v>
      </c>
      <c r="J358" s="356"/>
      <c r="K358" s="354"/>
    </row>
    <row r="359" spans="1:11">
      <c r="A359" s="374">
        <v>357</v>
      </c>
      <c r="B359" s="375" t="s">
        <v>531</v>
      </c>
      <c r="C359" s="375">
        <v>7552434130</v>
      </c>
      <c r="D359" s="375" t="s">
        <v>293</v>
      </c>
      <c r="E359" s="376">
        <v>45600</v>
      </c>
      <c r="F359" s="377" t="s">
        <v>476</v>
      </c>
      <c r="G359" s="378"/>
      <c r="H359" s="378"/>
      <c r="I359" s="376" t="s">
        <v>532</v>
      </c>
      <c r="J359" s="376"/>
      <c r="K359" s="379">
        <v>7552378510</v>
      </c>
    </row>
    <row r="360" spans="1:11">
      <c r="A360" s="374">
        <v>358</v>
      </c>
      <c r="B360" s="375" t="s">
        <v>531</v>
      </c>
      <c r="C360" s="375">
        <v>7552434140</v>
      </c>
      <c r="D360" s="375" t="s">
        <v>293</v>
      </c>
      <c r="E360" s="376">
        <v>45600</v>
      </c>
      <c r="F360" s="377" t="s">
        <v>476</v>
      </c>
      <c r="G360" s="378"/>
      <c r="H360" s="378"/>
      <c r="I360" s="376" t="s">
        <v>532</v>
      </c>
      <c r="J360" s="376"/>
      <c r="K360" s="379"/>
    </row>
    <row r="361" spans="1:11">
      <c r="A361" s="374">
        <v>359</v>
      </c>
      <c r="B361" s="375" t="s">
        <v>531</v>
      </c>
      <c r="C361" s="375">
        <v>7552434150</v>
      </c>
      <c r="D361" s="375" t="s">
        <v>293</v>
      </c>
      <c r="E361" s="376">
        <v>45600</v>
      </c>
      <c r="F361" s="377" t="s">
        <v>476</v>
      </c>
      <c r="G361" s="378"/>
      <c r="H361" s="378"/>
      <c r="I361" s="376" t="s">
        <v>532</v>
      </c>
      <c r="J361" s="376"/>
      <c r="K361" s="379"/>
    </row>
    <row r="362" spans="1:11">
      <c r="A362" s="374">
        <v>360</v>
      </c>
      <c r="B362" s="375" t="s">
        <v>531</v>
      </c>
      <c r="C362" s="375">
        <v>7552434160</v>
      </c>
      <c r="D362" s="375" t="s">
        <v>295</v>
      </c>
      <c r="E362" s="376">
        <v>45600</v>
      </c>
      <c r="F362" s="377" t="s">
        <v>476</v>
      </c>
      <c r="G362" s="378"/>
      <c r="H362" s="378"/>
      <c r="I362" s="376" t="s">
        <v>532</v>
      </c>
      <c r="J362" s="376"/>
      <c r="K362" s="379"/>
    </row>
    <row r="363" spans="1:11">
      <c r="A363" s="374">
        <v>361</v>
      </c>
      <c r="B363" s="375" t="s">
        <v>531</v>
      </c>
      <c r="C363" s="375">
        <v>7552434170</v>
      </c>
      <c r="D363" s="375" t="s">
        <v>295</v>
      </c>
      <c r="E363" s="376">
        <v>45600</v>
      </c>
      <c r="F363" s="377" t="s">
        <v>476</v>
      </c>
      <c r="G363" s="378"/>
      <c r="H363" s="378"/>
      <c r="I363" s="376" t="s">
        <v>532</v>
      </c>
      <c r="J363" s="376"/>
      <c r="K363" s="379"/>
    </row>
    <row r="364" spans="1:11">
      <c r="A364" s="370">
        <v>362</v>
      </c>
      <c r="B364" s="369" t="s">
        <v>484</v>
      </c>
      <c r="C364" s="369">
        <v>7552434200</v>
      </c>
      <c r="D364" s="372" t="s">
        <v>295</v>
      </c>
      <c r="E364" s="356">
        <v>45600</v>
      </c>
      <c r="F364" s="361" t="s">
        <v>511</v>
      </c>
      <c r="G364" s="353"/>
      <c r="H364" s="353"/>
      <c r="I364" s="356">
        <v>45576</v>
      </c>
      <c r="J364" s="356">
        <v>45576</v>
      </c>
      <c r="K364" s="354"/>
    </row>
    <row r="365" spans="1:11">
      <c r="A365" s="370">
        <v>363</v>
      </c>
      <c r="B365" s="369" t="s">
        <v>497</v>
      </c>
      <c r="C365" s="369">
        <v>8978794313</v>
      </c>
      <c r="D365" s="372" t="s">
        <v>257</v>
      </c>
      <c r="E365" s="356">
        <v>45600</v>
      </c>
      <c r="F365" s="361" t="s">
        <v>476</v>
      </c>
      <c r="G365" s="353"/>
      <c r="H365" s="353"/>
      <c r="I365" s="356">
        <v>45558</v>
      </c>
      <c r="J365" s="356">
        <v>45559</v>
      </c>
      <c r="K365" s="354"/>
    </row>
    <row r="366" spans="1:11">
      <c r="A366" s="370">
        <v>364</v>
      </c>
      <c r="B366" s="369" t="s">
        <v>484</v>
      </c>
      <c r="C366" s="354">
        <v>8978836721</v>
      </c>
      <c r="D366" s="372" t="s">
        <v>287</v>
      </c>
      <c r="E366" s="356">
        <v>45600</v>
      </c>
      <c r="F366" s="361" t="s">
        <v>476</v>
      </c>
      <c r="G366" s="353"/>
      <c r="H366" s="353"/>
      <c r="I366" s="356">
        <v>45589</v>
      </c>
      <c r="J366" s="356">
        <v>45589</v>
      </c>
      <c r="K366" s="354">
        <v>8978836720</v>
      </c>
    </row>
    <row r="367" spans="1:11">
      <c r="A367" s="370">
        <v>365</v>
      </c>
      <c r="B367" s="369" t="s">
        <v>497</v>
      </c>
      <c r="C367" s="369">
        <v>8978844974</v>
      </c>
      <c r="D367" s="372" t="s">
        <v>247</v>
      </c>
      <c r="E367" s="356">
        <v>45600</v>
      </c>
      <c r="F367" s="361" t="s">
        <v>511</v>
      </c>
      <c r="G367" s="353"/>
      <c r="H367" s="353"/>
      <c r="I367" s="356">
        <v>45576</v>
      </c>
      <c r="J367" s="356">
        <v>45576</v>
      </c>
      <c r="K367" s="354"/>
    </row>
    <row r="368" spans="1:11">
      <c r="A368" s="370">
        <v>366</v>
      </c>
      <c r="B368" s="369" t="s">
        <v>497</v>
      </c>
      <c r="C368" s="369">
        <v>7552380911</v>
      </c>
      <c r="D368" s="372" t="s">
        <v>247</v>
      </c>
      <c r="E368" s="356">
        <v>45607</v>
      </c>
      <c r="F368" s="353" t="s">
        <v>476</v>
      </c>
      <c r="G368" s="353"/>
      <c r="H368" s="353"/>
      <c r="I368" s="356">
        <v>45587</v>
      </c>
      <c r="J368" s="356">
        <v>45587</v>
      </c>
      <c r="K368" s="354">
        <v>7551909711</v>
      </c>
    </row>
    <row r="369" spans="1:11">
      <c r="A369" s="370">
        <v>367</v>
      </c>
      <c r="B369" s="369" t="s">
        <v>497</v>
      </c>
      <c r="C369" s="369">
        <v>7552127193</v>
      </c>
      <c r="D369" s="372" t="s">
        <v>257</v>
      </c>
      <c r="E369" s="356">
        <v>45613</v>
      </c>
      <c r="F369" s="353" t="s">
        <v>476</v>
      </c>
      <c r="G369" s="353"/>
      <c r="H369" s="353"/>
      <c r="I369" s="356">
        <v>45609</v>
      </c>
      <c r="J369" s="356">
        <v>45609</v>
      </c>
      <c r="K369" s="354">
        <v>7552127161</v>
      </c>
    </row>
    <row r="370" spans="1:11">
      <c r="A370" s="370">
        <v>368</v>
      </c>
      <c r="B370" s="369" t="s">
        <v>486</v>
      </c>
      <c r="C370" s="369">
        <v>8977943284</v>
      </c>
      <c r="D370" s="372" t="s">
        <v>245</v>
      </c>
      <c r="E370" s="356">
        <v>45614</v>
      </c>
      <c r="F370" s="353" t="s">
        <v>476</v>
      </c>
      <c r="G370" s="353"/>
      <c r="H370" s="353"/>
      <c r="I370" s="356">
        <v>45581</v>
      </c>
      <c r="J370" s="356">
        <v>45582</v>
      </c>
      <c r="K370" s="354">
        <v>8977943294</v>
      </c>
    </row>
    <row r="371" spans="1:11">
      <c r="A371" s="370">
        <v>369</v>
      </c>
      <c r="B371" s="369" t="s">
        <v>497</v>
      </c>
      <c r="C371" s="369">
        <v>7551909441</v>
      </c>
      <c r="D371" s="372" t="s">
        <v>245</v>
      </c>
      <c r="E371" s="356">
        <v>45621</v>
      </c>
      <c r="F371" s="361" t="s">
        <v>476</v>
      </c>
      <c r="G371" s="353"/>
      <c r="H371" s="353"/>
      <c r="I371" s="356">
        <v>45576</v>
      </c>
      <c r="J371" s="356">
        <v>45582</v>
      </c>
      <c r="K371" s="354"/>
    </row>
    <row r="372" spans="1:11">
      <c r="A372" s="370">
        <v>370</v>
      </c>
      <c r="B372" s="369" t="s">
        <v>484</v>
      </c>
      <c r="C372" s="369">
        <v>7552138882</v>
      </c>
      <c r="D372" s="372" t="s">
        <v>257</v>
      </c>
      <c r="E372" s="356">
        <v>45621</v>
      </c>
      <c r="F372" s="361" t="s">
        <v>476</v>
      </c>
      <c r="G372" s="353"/>
      <c r="H372" s="353"/>
      <c r="I372" s="356">
        <v>45589</v>
      </c>
      <c r="J372" s="356">
        <v>45589</v>
      </c>
      <c r="K372" s="354">
        <v>7552138862</v>
      </c>
    </row>
    <row r="373" spans="1:11">
      <c r="A373" s="370">
        <v>371</v>
      </c>
      <c r="B373" s="369" t="s">
        <v>484</v>
      </c>
      <c r="C373" s="369">
        <v>7552301130</v>
      </c>
      <c r="D373" s="372" t="s">
        <v>294</v>
      </c>
      <c r="E373" s="356">
        <v>45621</v>
      </c>
      <c r="F373" s="361" t="s">
        <v>8</v>
      </c>
      <c r="G373" s="353"/>
      <c r="H373" s="353"/>
      <c r="I373" s="356">
        <v>45616</v>
      </c>
      <c r="J373" s="356">
        <v>44520</v>
      </c>
      <c r="K373" s="354">
        <v>7552301890</v>
      </c>
    </row>
    <row r="374" spans="1:11">
      <c r="A374" s="370">
        <v>372</v>
      </c>
      <c r="B374" s="369" t="s">
        <v>484</v>
      </c>
      <c r="C374" s="369">
        <v>7552301890</v>
      </c>
      <c r="D374" s="372" t="s">
        <v>356</v>
      </c>
      <c r="E374" s="356">
        <v>45621</v>
      </c>
      <c r="F374" s="353" t="s">
        <v>476</v>
      </c>
      <c r="G374" s="353"/>
      <c r="H374" s="353"/>
      <c r="I374" s="356">
        <v>45600</v>
      </c>
      <c r="J374" s="356">
        <v>45600</v>
      </c>
      <c r="K374" s="354">
        <v>7552301510</v>
      </c>
    </row>
    <row r="375" spans="1:11">
      <c r="A375" s="370">
        <v>373</v>
      </c>
      <c r="B375" s="369" t="s">
        <v>484</v>
      </c>
      <c r="C375" s="369">
        <v>7552410190</v>
      </c>
      <c r="D375" s="372" t="s">
        <v>356</v>
      </c>
      <c r="E375" s="356">
        <v>45621</v>
      </c>
      <c r="F375" s="353" t="s">
        <v>476</v>
      </c>
      <c r="G375" s="353"/>
      <c r="H375" s="353"/>
      <c r="I375" s="356">
        <v>45600</v>
      </c>
      <c r="J375" s="356">
        <v>45600</v>
      </c>
      <c r="K375" s="354">
        <v>7552472781</v>
      </c>
    </row>
    <row r="376" spans="1:11">
      <c r="A376" s="370">
        <v>374</v>
      </c>
      <c r="B376" s="369" t="s">
        <v>497</v>
      </c>
      <c r="C376" s="369">
        <v>8976659991</v>
      </c>
      <c r="D376" s="372" t="s">
        <v>279</v>
      </c>
      <c r="E376" s="356">
        <v>45621</v>
      </c>
      <c r="F376" s="353" t="s">
        <v>476</v>
      </c>
      <c r="G376" s="353"/>
      <c r="H376" s="353"/>
      <c r="I376" s="356">
        <v>45582</v>
      </c>
      <c r="J376" s="356">
        <v>45582</v>
      </c>
      <c r="K376" s="354">
        <v>8976659990</v>
      </c>
    </row>
    <row r="377" spans="1:11">
      <c r="A377" s="370">
        <v>375</v>
      </c>
      <c r="B377" s="369" t="s">
        <v>484</v>
      </c>
      <c r="C377" s="354">
        <v>8978431130</v>
      </c>
      <c r="D377" s="355"/>
      <c r="E377" s="356">
        <v>45621</v>
      </c>
      <c r="F377" s="361" t="s">
        <v>476</v>
      </c>
      <c r="G377" s="353"/>
      <c r="H377" s="353"/>
      <c r="I377" s="356">
        <v>45567</v>
      </c>
      <c r="J377" s="356">
        <v>45567</v>
      </c>
      <c r="K377" s="354"/>
    </row>
    <row r="378" spans="1:11">
      <c r="A378" s="370">
        <v>376</v>
      </c>
      <c r="B378" s="369" t="s">
        <v>484</v>
      </c>
      <c r="C378" s="354">
        <v>8978836772</v>
      </c>
      <c r="D378" s="355" t="s">
        <v>533</v>
      </c>
      <c r="E378" s="356">
        <v>45621</v>
      </c>
      <c r="F378" s="361" t="s">
        <v>476</v>
      </c>
      <c r="G378" s="353"/>
      <c r="H378" s="353"/>
      <c r="I378" s="356">
        <v>45582</v>
      </c>
      <c r="J378" s="356">
        <v>45582</v>
      </c>
      <c r="K378" s="354">
        <v>8978836720</v>
      </c>
    </row>
    <row r="379" spans="1:11">
      <c r="A379" s="370">
        <v>377</v>
      </c>
      <c r="B379" s="369" t="s">
        <v>497</v>
      </c>
      <c r="C379" s="369">
        <v>8978843422</v>
      </c>
      <c r="D379" s="372" t="s">
        <v>245</v>
      </c>
      <c r="E379" s="356">
        <v>45621</v>
      </c>
      <c r="F379" s="361" t="s">
        <v>476</v>
      </c>
      <c r="G379" s="353"/>
      <c r="H379" s="353"/>
      <c r="I379" s="356">
        <v>45581</v>
      </c>
      <c r="J379" s="356">
        <v>45582</v>
      </c>
      <c r="K379" s="354">
        <v>8978843382</v>
      </c>
    </row>
    <row r="380" spans="1:11">
      <c r="A380" s="370">
        <v>378</v>
      </c>
      <c r="B380" s="369" t="s">
        <v>497</v>
      </c>
      <c r="C380" s="369">
        <v>8972681153</v>
      </c>
      <c r="D380" s="372" t="s">
        <v>256</v>
      </c>
      <c r="E380" s="356">
        <v>45628</v>
      </c>
      <c r="F380" s="353" t="s">
        <v>476</v>
      </c>
      <c r="G380" s="353"/>
      <c r="H380" s="353"/>
      <c r="I380" s="356">
        <v>45582</v>
      </c>
      <c r="J380" s="356">
        <v>45582</v>
      </c>
      <c r="K380" s="354">
        <v>8972681151</v>
      </c>
    </row>
    <row r="381" spans="1:11">
      <c r="A381" s="370">
        <v>379</v>
      </c>
      <c r="B381" s="369" t="s">
        <v>497</v>
      </c>
      <c r="C381" s="369">
        <v>8978845052</v>
      </c>
      <c r="D381" s="355" t="s">
        <v>534</v>
      </c>
      <c r="E381" s="356">
        <v>45628</v>
      </c>
      <c r="F381" s="361" t="s">
        <v>476</v>
      </c>
      <c r="G381" s="353"/>
      <c r="H381" s="353"/>
      <c r="I381" s="356">
        <v>45581</v>
      </c>
      <c r="J381" s="356">
        <v>45582</v>
      </c>
      <c r="K381" s="354">
        <v>8978845051</v>
      </c>
    </row>
    <row r="382" spans="1:11">
      <c r="A382" s="370">
        <v>380</v>
      </c>
      <c r="B382" s="369" t="s">
        <v>497</v>
      </c>
      <c r="C382" s="369">
        <v>7551885552</v>
      </c>
      <c r="D382" s="372" t="s">
        <v>257</v>
      </c>
      <c r="E382" s="356">
        <v>45634</v>
      </c>
      <c r="F382" s="353" t="s">
        <v>476</v>
      </c>
      <c r="G382" s="353"/>
      <c r="H382" s="353"/>
      <c r="I382" s="356">
        <v>45587</v>
      </c>
      <c r="J382" s="356">
        <v>45587</v>
      </c>
      <c r="K382" s="354">
        <v>7551885513</v>
      </c>
    </row>
    <row r="383" spans="1:11">
      <c r="A383" s="374">
        <v>381</v>
      </c>
      <c r="B383" s="375" t="s">
        <v>497</v>
      </c>
      <c r="C383" s="375">
        <v>7551885852</v>
      </c>
      <c r="D383" s="375" t="s">
        <v>257</v>
      </c>
      <c r="E383" s="376">
        <v>45634</v>
      </c>
      <c r="F383" s="377" t="s">
        <v>511</v>
      </c>
      <c r="G383" s="378"/>
      <c r="H383" s="378"/>
      <c r="I383" s="376">
        <v>45632</v>
      </c>
      <c r="J383" s="376">
        <v>45632</v>
      </c>
      <c r="K383" s="379">
        <v>7551885851</v>
      </c>
    </row>
    <row r="384" spans="1:11">
      <c r="A384" s="374">
        <v>382</v>
      </c>
      <c r="B384" s="375" t="s">
        <v>535</v>
      </c>
      <c r="C384" s="375">
        <v>8978362103</v>
      </c>
      <c r="D384" s="375" t="s">
        <v>237</v>
      </c>
      <c r="E384" s="376">
        <v>45634</v>
      </c>
      <c r="F384" s="377" t="s">
        <v>511</v>
      </c>
      <c r="G384" s="378"/>
      <c r="H384" s="378"/>
      <c r="I384" s="376" t="s">
        <v>532</v>
      </c>
      <c r="J384" s="376"/>
      <c r="K384" s="379"/>
    </row>
    <row r="385" spans="1:11">
      <c r="A385" s="374">
        <v>383</v>
      </c>
      <c r="B385" s="375" t="s">
        <v>535</v>
      </c>
      <c r="C385" s="375">
        <v>8978748755</v>
      </c>
      <c r="D385" s="375" t="s">
        <v>352</v>
      </c>
      <c r="E385" s="376">
        <v>45634</v>
      </c>
      <c r="F385" s="377" t="s">
        <v>511</v>
      </c>
      <c r="G385" s="378"/>
      <c r="H385" s="378"/>
      <c r="I385" s="376" t="s">
        <v>532</v>
      </c>
      <c r="J385" s="376"/>
      <c r="K385" s="379"/>
    </row>
    <row r="386" spans="1:11">
      <c r="A386" s="370">
        <v>384</v>
      </c>
      <c r="B386" s="369" t="s">
        <v>497</v>
      </c>
      <c r="C386" s="354">
        <v>7551909340</v>
      </c>
      <c r="D386" s="355" t="s">
        <v>507</v>
      </c>
      <c r="E386" s="356">
        <v>45635</v>
      </c>
      <c r="F386" s="353" t="s">
        <v>476</v>
      </c>
      <c r="G386" s="353"/>
      <c r="H386" s="353"/>
      <c r="I386" s="356">
        <v>45582</v>
      </c>
      <c r="J386" s="356">
        <v>45582</v>
      </c>
      <c r="K386" s="354">
        <v>7551909470</v>
      </c>
    </row>
    <row r="387" spans="1:11">
      <c r="A387" s="370">
        <v>385</v>
      </c>
      <c r="B387" s="369" t="s">
        <v>497</v>
      </c>
      <c r="C387" s="369">
        <v>8978794274</v>
      </c>
      <c r="D387" s="372" t="s">
        <v>257</v>
      </c>
      <c r="E387" s="356">
        <v>45635</v>
      </c>
      <c r="F387" s="353" t="s">
        <v>476</v>
      </c>
      <c r="G387" s="353"/>
      <c r="H387" s="353"/>
      <c r="I387" s="356">
        <v>45581</v>
      </c>
      <c r="J387" s="356">
        <v>45582</v>
      </c>
      <c r="K387" s="354">
        <v>8978794892</v>
      </c>
    </row>
    <row r="388" spans="1:11">
      <c r="A388" s="353">
        <v>386</v>
      </c>
      <c r="B388" s="354" t="s">
        <v>503</v>
      </c>
      <c r="C388" s="369">
        <v>7552166233</v>
      </c>
      <c r="D388" s="372" t="s">
        <v>257</v>
      </c>
      <c r="E388" s="356">
        <v>45642</v>
      </c>
      <c r="F388" s="353" t="s">
        <v>476</v>
      </c>
      <c r="G388" s="353"/>
      <c r="H388" s="353"/>
      <c r="I388" s="356">
        <v>45581</v>
      </c>
      <c r="J388" s="356">
        <v>45582</v>
      </c>
      <c r="K388" s="354">
        <v>7552166232</v>
      </c>
    </row>
    <row r="389" spans="1:11">
      <c r="A389" s="374">
        <v>387</v>
      </c>
      <c r="B389" s="375" t="s">
        <v>497</v>
      </c>
      <c r="C389" s="375">
        <v>7551909321</v>
      </c>
      <c r="D389" s="375" t="s">
        <v>245</v>
      </c>
      <c r="E389" s="376">
        <v>45648</v>
      </c>
      <c r="F389" s="377" t="s">
        <v>536</v>
      </c>
      <c r="G389" s="378"/>
      <c r="H389" s="378"/>
      <c r="I389" s="376">
        <v>45637</v>
      </c>
      <c r="J389" s="376">
        <v>45637</v>
      </c>
      <c r="K389" s="379">
        <v>7551909320</v>
      </c>
    </row>
    <row r="390" spans="1:11">
      <c r="A390" s="374">
        <v>388</v>
      </c>
      <c r="B390" s="375" t="s">
        <v>497</v>
      </c>
      <c r="C390" s="375">
        <v>7552078581</v>
      </c>
      <c r="D390" s="375" t="s">
        <v>275</v>
      </c>
      <c r="E390" s="376">
        <v>45648</v>
      </c>
      <c r="F390" s="377" t="s">
        <v>511</v>
      </c>
      <c r="G390" s="378"/>
      <c r="H390" s="378"/>
      <c r="I390" s="376">
        <v>45632</v>
      </c>
      <c r="J390" s="376">
        <v>45632</v>
      </c>
      <c r="K390" s="379">
        <v>7552078580</v>
      </c>
    </row>
    <row r="391" spans="1:11">
      <c r="A391" s="353">
        <v>389</v>
      </c>
      <c r="B391" s="354" t="s">
        <v>503</v>
      </c>
      <c r="C391" s="369">
        <v>7552166212</v>
      </c>
      <c r="D391" s="372" t="s">
        <v>287</v>
      </c>
      <c r="E391" s="356">
        <v>45649</v>
      </c>
      <c r="F391" s="353" t="s">
        <v>476</v>
      </c>
      <c r="G391" s="353"/>
      <c r="H391" s="353"/>
      <c r="I391" s="356">
        <v>45581</v>
      </c>
      <c r="J391" s="356">
        <v>45582</v>
      </c>
      <c r="K391" s="354">
        <v>7552166232</v>
      </c>
    </row>
    <row r="392" spans="1:11">
      <c r="A392" s="370">
        <v>390</v>
      </c>
      <c r="B392" s="369" t="s">
        <v>497</v>
      </c>
      <c r="C392" s="369">
        <v>7552378340</v>
      </c>
      <c r="D392" s="372" t="s">
        <v>247</v>
      </c>
      <c r="E392" s="356">
        <v>45649</v>
      </c>
      <c r="F392" s="353" t="s">
        <v>476</v>
      </c>
      <c r="G392" s="353"/>
      <c r="H392" s="353"/>
      <c r="I392" s="356">
        <v>45587</v>
      </c>
      <c r="J392" s="356">
        <v>45587</v>
      </c>
      <c r="K392" s="354">
        <v>7552378500</v>
      </c>
    </row>
    <row r="393" spans="1:11">
      <c r="A393" s="370">
        <v>391</v>
      </c>
      <c r="B393" s="369" t="s">
        <v>497</v>
      </c>
      <c r="C393" s="369">
        <v>7552378510</v>
      </c>
      <c r="D393" s="372" t="s">
        <v>247</v>
      </c>
      <c r="E393" s="356">
        <v>45649</v>
      </c>
      <c r="F393" s="353" t="s">
        <v>476</v>
      </c>
      <c r="G393" s="353"/>
      <c r="H393" s="353"/>
      <c r="I393" s="356">
        <v>45587</v>
      </c>
      <c r="J393" s="356">
        <v>45587</v>
      </c>
      <c r="K393" s="354">
        <v>7552378460</v>
      </c>
    </row>
    <row r="394" spans="1:11">
      <c r="A394" s="353">
        <v>392</v>
      </c>
      <c r="B394" s="354" t="s">
        <v>503</v>
      </c>
      <c r="C394" s="369">
        <v>8977917300</v>
      </c>
      <c r="D394" s="372" t="s">
        <v>298</v>
      </c>
      <c r="E394" s="356">
        <v>45649</v>
      </c>
      <c r="F394" s="353" t="s">
        <v>476</v>
      </c>
      <c r="G394" s="353"/>
      <c r="H394" s="353"/>
      <c r="I394" s="356">
        <v>45581</v>
      </c>
      <c r="J394" s="356">
        <v>45582</v>
      </c>
      <c r="K394" s="354">
        <v>8977917320</v>
      </c>
    </row>
    <row r="395" spans="1:11">
      <c r="A395" s="353">
        <v>393</v>
      </c>
      <c r="B395" s="354" t="s">
        <v>503</v>
      </c>
      <c r="C395" s="369">
        <v>8977917460</v>
      </c>
      <c r="D395" s="372" t="s">
        <v>298</v>
      </c>
      <c r="E395" s="356">
        <v>45649</v>
      </c>
      <c r="F395" s="353" t="s">
        <v>476</v>
      </c>
      <c r="G395" s="353"/>
      <c r="H395" s="353"/>
      <c r="I395" s="356">
        <v>45581</v>
      </c>
      <c r="J395" s="356">
        <v>45582</v>
      </c>
      <c r="K395" s="354">
        <v>8977917470</v>
      </c>
    </row>
    <row r="396" spans="1:11">
      <c r="A396" s="370">
        <v>394</v>
      </c>
      <c r="B396" s="369" t="s">
        <v>497</v>
      </c>
      <c r="C396" s="369">
        <v>7551909382</v>
      </c>
      <c r="D396" s="372" t="s">
        <v>245</v>
      </c>
      <c r="E396" s="356">
        <v>45655</v>
      </c>
      <c r="F396" s="353" t="s">
        <v>476</v>
      </c>
      <c r="G396" s="353"/>
      <c r="H396" s="353"/>
      <c r="I396" s="356">
        <v>45600</v>
      </c>
      <c r="J396" s="356">
        <v>45600</v>
      </c>
      <c r="K396" s="354">
        <v>7551909092</v>
      </c>
    </row>
    <row r="397" spans="1:11">
      <c r="A397" s="370">
        <v>395</v>
      </c>
      <c r="B397" s="369" t="s">
        <v>537</v>
      </c>
      <c r="C397" s="369">
        <v>7552304850</v>
      </c>
      <c r="D397" s="372" t="s">
        <v>356</v>
      </c>
      <c r="E397" s="356">
        <v>45662</v>
      </c>
      <c r="F397" s="353" t="s">
        <v>476</v>
      </c>
      <c r="G397" s="353"/>
      <c r="H397" s="353"/>
      <c r="I397" s="356">
        <v>45620</v>
      </c>
      <c r="J397" s="356"/>
      <c r="K397" s="354"/>
    </row>
    <row r="398" spans="1:11">
      <c r="A398" s="370">
        <v>396</v>
      </c>
      <c r="B398" s="369" t="s">
        <v>537</v>
      </c>
      <c r="C398" s="369">
        <v>7552305280</v>
      </c>
      <c r="D398" s="372" t="s">
        <v>291</v>
      </c>
      <c r="E398" s="356">
        <v>45662</v>
      </c>
      <c r="F398" s="353" t="s">
        <v>476</v>
      </c>
      <c r="G398" s="353"/>
      <c r="H398" s="353"/>
      <c r="I398" s="356">
        <v>45620</v>
      </c>
      <c r="J398" s="356"/>
      <c r="K398" s="354"/>
    </row>
    <row r="399" spans="1:11">
      <c r="A399" s="374">
        <v>397</v>
      </c>
      <c r="B399" s="375" t="s">
        <v>484</v>
      </c>
      <c r="C399" s="375">
        <v>8975251220</v>
      </c>
      <c r="D399" s="375" t="s">
        <v>6</v>
      </c>
      <c r="E399" s="376">
        <v>45662</v>
      </c>
      <c r="F399" s="377" t="s">
        <v>511</v>
      </c>
      <c r="G399" s="378"/>
      <c r="H399" s="378"/>
      <c r="I399" s="376">
        <v>45650</v>
      </c>
      <c r="J399" s="376">
        <v>45650</v>
      </c>
      <c r="K399" s="379">
        <v>8975249930</v>
      </c>
    </row>
    <row r="400" spans="1:11">
      <c r="A400" s="374">
        <v>398</v>
      </c>
      <c r="B400" s="375" t="s">
        <v>484</v>
      </c>
      <c r="C400" s="375">
        <v>8977917370</v>
      </c>
      <c r="D400" s="375" t="s">
        <v>298</v>
      </c>
      <c r="E400" s="376">
        <v>45662</v>
      </c>
      <c r="F400" s="377" t="s">
        <v>536</v>
      </c>
      <c r="G400" s="378"/>
      <c r="H400" s="378"/>
      <c r="I400" s="376">
        <v>45644</v>
      </c>
      <c r="J400" s="376"/>
      <c r="K400" s="379">
        <v>8977917440</v>
      </c>
    </row>
    <row r="401" spans="1:11">
      <c r="A401" s="374">
        <v>399</v>
      </c>
      <c r="B401" s="375" t="s">
        <v>497</v>
      </c>
      <c r="C401" s="375">
        <v>8978363683</v>
      </c>
      <c r="D401" s="375" t="s">
        <v>245</v>
      </c>
      <c r="E401" s="376">
        <v>45662</v>
      </c>
      <c r="F401" s="377" t="s">
        <v>8</v>
      </c>
      <c r="G401" s="378"/>
      <c r="H401" s="378"/>
      <c r="I401" s="376">
        <v>45637</v>
      </c>
      <c r="J401" s="376">
        <v>45637</v>
      </c>
      <c r="K401" s="379">
        <v>8978363682</v>
      </c>
    </row>
    <row r="402" spans="1:11">
      <c r="A402" s="370">
        <v>400</v>
      </c>
      <c r="B402" s="369" t="s">
        <v>497</v>
      </c>
      <c r="C402" s="369">
        <v>7551946372</v>
      </c>
      <c r="D402" s="372" t="s">
        <v>247</v>
      </c>
      <c r="E402" s="356">
        <v>45663</v>
      </c>
      <c r="F402" s="353" t="s">
        <v>476</v>
      </c>
      <c r="G402" s="353"/>
      <c r="H402" s="353"/>
      <c r="I402" s="356">
        <v>45581</v>
      </c>
      <c r="J402" s="356">
        <v>45582</v>
      </c>
      <c r="K402" s="354">
        <v>7551945921</v>
      </c>
    </row>
    <row r="403" spans="1:11">
      <c r="A403" s="370">
        <v>401</v>
      </c>
      <c r="B403" s="369" t="s">
        <v>484</v>
      </c>
      <c r="C403" s="369">
        <v>7552138902</v>
      </c>
      <c r="D403" s="372" t="s">
        <v>257</v>
      </c>
      <c r="E403" s="356">
        <v>45663</v>
      </c>
      <c r="F403" s="353" t="s">
        <v>476</v>
      </c>
      <c r="G403" s="353"/>
      <c r="H403" s="353"/>
      <c r="I403" s="356">
        <v>45600</v>
      </c>
      <c r="J403" s="356">
        <v>45600</v>
      </c>
      <c r="K403" s="354">
        <v>7552166023</v>
      </c>
    </row>
    <row r="404" spans="1:11">
      <c r="A404" s="370">
        <v>402</v>
      </c>
      <c r="B404" s="369" t="s">
        <v>497</v>
      </c>
      <c r="C404" s="369">
        <v>7552378350</v>
      </c>
      <c r="D404" s="372" t="s">
        <v>247</v>
      </c>
      <c r="E404" s="356">
        <v>45663</v>
      </c>
      <c r="F404" s="353" t="s">
        <v>476</v>
      </c>
      <c r="G404" s="353"/>
      <c r="H404" s="353"/>
      <c r="I404" s="356">
        <v>45587</v>
      </c>
      <c r="J404" s="356">
        <v>45587</v>
      </c>
      <c r="K404" s="354">
        <v>7552378510</v>
      </c>
    </row>
    <row r="405" spans="1:11">
      <c r="A405" s="370">
        <v>403</v>
      </c>
      <c r="B405" s="369" t="s">
        <v>497</v>
      </c>
      <c r="C405" s="369">
        <v>7552378380</v>
      </c>
      <c r="D405" s="372" t="s">
        <v>247</v>
      </c>
      <c r="E405" s="356">
        <v>45663</v>
      </c>
      <c r="F405" s="353" t="s">
        <v>476</v>
      </c>
      <c r="G405" s="353"/>
      <c r="H405" s="353"/>
      <c r="I405" s="356">
        <v>45600</v>
      </c>
      <c r="J405" s="356">
        <v>45600</v>
      </c>
      <c r="K405" s="354">
        <v>7552378350</v>
      </c>
    </row>
    <row r="406" spans="1:11">
      <c r="A406" s="370">
        <v>404</v>
      </c>
      <c r="B406" s="369" t="s">
        <v>497</v>
      </c>
      <c r="C406" s="369">
        <v>7552378390</v>
      </c>
      <c r="D406" s="372" t="s">
        <v>247</v>
      </c>
      <c r="E406" s="356">
        <v>45663</v>
      </c>
      <c r="F406" s="353" t="s">
        <v>476</v>
      </c>
      <c r="G406" s="353"/>
      <c r="H406" s="353"/>
      <c r="I406" s="356">
        <v>45587</v>
      </c>
      <c r="J406" s="356">
        <v>45587</v>
      </c>
      <c r="K406" s="354">
        <v>7552378500</v>
      </c>
    </row>
    <row r="407" spans="1:11">
      <c r="A407" s="374">
        <v>405</v>
      </c>
      <c r="B407" s="375" t="s">
        <v>531</v>
      </c>
      <c r="C407" s="375">
        <v>7551954813</v>
      </c>
      <c r="D407" s="375" t="s">
        <v>283</v>
      </c>
      <c r="E407" s="376">
        <v>45669</v>
      </c>
      <c r="F407" s="377" t="s">
        <v>511</v>
      </c>
      <c r="G407" s="378"/>
      <c r="H407" s="378"/>
      <c r="I407" s="376" t="s">
        <v>538</v>
      </c>
      <c r="J407" s="376"/>
      <c r="K407" s="379"/>
    </row>
    <row r="408" spans="1:11">
      <c r="A408" s="374">
        <v>406</v>
      </c>
      <c r="B408" s="375" t="s">
        <v>531</v>
      </c>
      <c r="C408" s="375">
        <v>7551954833</v>
      </c>
      <c r="D408" s="375" t="s">
        <v>283</v>
      </c>
      <c r="E408" s="376">
        <v>45669</v>
      </c>
      <c r="F408" s="377" t="s">
        <v>511</v>
      </c>
      <c r="G408" s="378"/>
      <c r="H408" s="378"/>
      <c r="I408" s="376" t="s">
        <v>538</v>
      </c>
      <c r="J408" s="376"/>
      <c r="K408" s="379"/>
    </row>
    <row r="409" spans="1:11">
      <c r="A409" s="374">
        <v>407</v>
      </c>
      <c r="B409" s="375" t="s">
        <v>531</v>
      </c>
      <c r="C409" s="375">
        <v>7551954853</v>
      </c>
      <c r="D409" s="375" t="s">
        <v>283</v>
      </c>
      <c r="E409" s="376">
        <v>45669</v>
      </c>
      <c r="F409" s="377" t="s">
        <v>511</v>
      </c>
      <c r="G409" s="378"/>
      <c r="H409" s="378"/>
      <c r="I409" s="376" t="s">
        <v>538</v>
      </c>
      <c r="J409" s="376"/>
      <c r="K409" s="379"/>
    </row>
    <row r="410" spans="1:11">
      <c r="A410" s="374">
        <v>408</v>
      </c>
      <c r="B410" s="375" t="s">
        <v>484</v>
      </c>
      <c r="C410" s="375">
        <v>8976880430</v>
      </c>
      <c r="D410" s="375" t="s">
        <v>289</v>
      </c>
      <c r="E410" s="376">
        <v>45676</v>
      </c>
      <c r="F410" s="377" t="s">
        <v>511</v>
      </c>
      <c r="G410" s="378"/>
      <c r="H410" s="378"/>
      <c r="I410" s="376">
        <v>45680</v>
      </c>
      <c r="J410" s="376">
        <v>45680</v>
      </c>
      <c r="K410" s="379"/>
    </row>
    <row r="411" spans="1:11">
      <c r="A411" s="374">
        <v>409</v>
      </c>
      <c r="B411" s="375" t="s">
        <v>484</v>
      </c>
      <c r="C411" s="375">
        <v>8978771273</v>
      </c>
      <c r="D411" s="375" t="s">
        <v>539</v>
      </c>
      <c r="E411" s="376">
        <v>45676</v>
      </c>
      <c r="F411" s="377" t="s">
        <v>540</v>
      </c>
      <c r="G411" s="378"/>
      <c r="H411" s="378"/>
      <c r="I411" s="376">
        <v>45644</v>
      </c>
      <c r="J411" s="376">
        <v>45644</v>
      </c>
      <c r="K411" s="379">
        <v>8978771271</v>
      </c>
    </row>
    <row r="412" spans="1:11">
      <c r="A412" s="374">
        <v>410</v>
      </c>
      <c r="B412" s="375" t="s">
        <v>497</v>
      </c>
      <c r="C412" s="375">
        <v>8983922722</v>
      </c>
      <c r="D412" s="375" t="s">
        <v>10</v>
      </c>
      <c r="E412" s="376">
        <v>45676</v>
      </c>
      <c r="F412" s="377" t="s">
        <v>511</v>
      </c>
      <c r="G412" s="378"/>
      <c r="H412" s="378"/>
      <c r="I412" s="376">
        <v>45632</v>
      </c>
      <c r="J412" s="376">
        <v>45632</v>
      </c>
      <c r="K412" s="379">
        <v>8983922701</v>
      </c>
    </row>
    <row r="413" spans="1:11">
      <c r="A413" s="374">
        <v>411</v>
      </c>
      <c r="B413" s="375" t="s">
        <v>497</v>
      </c>
      <c r="C413" s="375">
        <v>7552378550</v>
      </c>
      <c r="D413" s="375" t="s">
        <v>247</v>
      </c>
      <c r="E413" s="376">
        <v>45677</v>
      </c>
      <c r="F413" s="377" t="s">
        <v>476</v>
      </c>
      <c r="G413" s="378"/>
      <c r="H413" s="378"/>
      <c r="I413" s="376">
        <v>45625</v>
      </c>
      <c r="J413" s="376">
        <v>45625</v>
      </c>
      <c r="K413" s="379">
        <v>7552378390</v>
      </c>
    </row>
    <row r="414" spans="1:11">
      <c r="A414" s="370">
        <v>412</v>
      </c>
      <c r="B414" s="369" t="s">
        <v>484</v>
      </c>
      <c r="C414" s="369">
        <v>7552410080</v>
      </c>
      <c r="D414" s="372" t="s">
        <v>6</v>
      </c>
      <c r="E414" s="356">
        <v>45677</v>
      </c>
      <c r="F414" s="353" t="s">
        <v>476</v>
      </c>
      <c r="G414" s="353"/>
      <c r="H414" s="353"/>
      <c r="I414" s="356">
        <v>45600</v>
      </c>
      <c r="J414" s="356">
        <v>45600</v>
      </c>
      <c r="K414" s="354">
        <v>7552472781</v>
      </c>
    </row>
    <row r="415" spans="1:11">
      <c r="A415" s="374">
        <v>413</v>
      </c>
      <c r="B415" s="375" t="s">
        <v>541</v>
      </c>
      <c r="C415" s="375">
        <v>8978748644</v>
      </c>
      <c r="D415" s="375" t="s">
        <v>253</v>
      </c>
      <c r="E415" s="376">
        <v>45683</v>
      </c>
      <c r="F415" s="377" t="s">
        <v>476</v>
      </c>
      <c r="G415" s="378"/>
      <c r="H415" s="378"/>
      <c r="I415" s="376" t="s">
        <v>532</v>
      </c>
      <c r="J415" s="376"/>
      <c r="K415" s="379"/>
    </row>
    <row r="416" spans="1:11">
      <c r="A416" s="374">
        <v>414</v>
      </c>
      <c r="B416" s="375" t="s">
        <v>497</v>
      </c>
      <c r="C416" s="375">
        <v>7552208751</v>
      </c>
      <c r="D416" s="375" t="s">
        <v>244</v>
      </c>
      <c r="E416" s="376">
        <v>45690</v>
      </c>
      <c r="F416" s="377" t="s">
        <v>542</v>
      </c>
      <c r="G416" s="378"/>
      <c r="H416" s="378"/>
      <c r="I416" s="376">
        <v>45650</v>
      </c>
      <c r="J416" s="376">
        <v>45650</v>
      </c>
      <c r="K416" s="379">
        <v>7552208750</v>
      </c>
    </row>
    <row r="417" spans="1:11">
      <c r="A417" s="374">
        <v>415</v>
      </c>
      <c r="B417" s="375" t="s">
        <v>484</v>
      </c>
      <c r="C417" s="375">
        <v>7552434190</v>
      </c>
      <c r="D417" s="375" t="s">
        <v>295</v>
      </c>
      <c r="E417" s="376">
        <v>45690</v>
      </c>
      <c r="F417" s="377" t="s">
        <v>476</v>
      </c>
      <c r="G417" s="378"/>
      <c r="H417" s="378"/>
      <c r="I417" s="376">
        <v>45611</v>
      </c>
      <c r="J417" s="376">
        <v>45621</v>
      </c>
      <c r="K417" s="379">
        <v>7552434200</v>
      </c>
    </row>
    <row r="418" spans="1:11">
      <c r="A418" s="370">
        <v>416</v>
      </c>
      <c r="B418" s="372" t="s">
        <v>484</v>
      </c>
      <c r="C418" s="369">
        <v>8977909713</v>
      </c>
      <c r="D418" s="372" t="s">
        <v>281</v>
      </c>
      <c r="E418" s="356">
        <v>45690</v>
      </c>
      <c r="F418" s="370" t="s">
        <v>511</v>
      </c>
      <c r="G418" s="353"/>
      <c r="H418" s="353"/>
      <c r="I418" s="356">
        <v>45457</v>
      </c>
      <c r="J418" s="356"/>
      <c r="K418" s="354"/>
    </row>
    <row r="419" spans="1:11">
      <c r="A419" s="370">
        <v>417</v>
      </c>
      <c r="B419" s="372" t="s">
        <v>484</v>
      </c>
      <c r="C419" s="369">
        <v>8977909730</v>
      </c>
      <c r="D419" s="372" t="s">
        <v>281</v>
      </c>
      <c r="E419" s="356">
        <v>45690</v>
      </c>
      <c r="F419" s="370" t="s">
        <v>511</v>
      </c>
      <c r="G419" s="353"/>
      <c r="H419" s="353"/>
      <c r="I419" s="356">
        <v>45457</v>
      </c>
      <c r="J419" s="356"/>
      <c r="K419" s="354"/>
    </row>
    <row r="420" spans="1:11">
      <c r="A420" s="384">
        <v>418</v>
      </c>
      <c r="B420" s="385" t="s">
        <v>543</v>
      </c>
      <c r="C420" s="379">
        <v>8978749105</v>
      </c>
      <c r="D420" s="380" t="s">
        <v>266</v>
      </c>
      <c r="E420" s="376">
        <v>45690</v>
      </c>
      <c r="F420" s="378"/>
      <c r="G420" s="378"/>
      <c r="H420" s="378"/>
      <c r="I420" s="376">
        <v>45218</v>
      </c>
      <c r="J420" s="376">
        <v>8978749105</v>
      </c>
      <c r="K420" s="379"/>
    </row>
    <row r="421" spans="1:11">
      <c r="A421" s="378">
        <v>419</v>
      </c>
      <c r="B421" s="379" t="s">
        <v>503</v>
      </c>
      <c r="C421" s="379">
        <v>8978771273</v>
      </c>
      <c r="D421" s="380" t="s">
        <v>539</v>
      </c>
      <c r="E421" s="376">
        <v>45690</v>
      </c>
      <c r="F421" s="378"/>
      <c r="G421" s="378"/>
      <c r="H421" s="378"/>
      <c r="I421" s="376">
        <v>45218</v>
      </c>
      <c r="J421" s="376">
        <v>8978771273</v>
      </c>
      <c r="K421" s="379"/>
    </row>
    <row r="422" spans="1:11">
      <c r="A422" s="370">
        <v>420</v>
      </c>
      <c r="B422" s="372" t="s">
        <v>484</v>
      </c>
      <c r="C422" s="369">
        <v>8983707420</v>
      </c>
      <c r="D422" s="372" t="s">
        <v>13</v>
      </c>
      <c r="E422" s="356">
        <v>45690</v>
      </c>
      <c r="F422" s="370" t="s">
        <v>511</v>
      </c>
      <c r="G422" s="353"/>
      <c r="H422" s="353"/>
      <c r="I422" s="356">
        <v>45457</v>
      </c>
      <c r="J422" s="356"/>
      <c r="K422" s="354"/>
    </row>
    <row r="423" spans="1:11">
      <c r="A423" s="378">
        <v>421</v>
      </c>
      <c r="B423" s="379" t="s">
        <v>503</v>
      </c>
      <c r="C423" s="379">
        <v>8978771273</v>
      </c>
      <c r="D423" s="380" t="s">
        <v>539</v>
      </c>
      <c r="E423" s="376">
        <v>45697</v>
      </c>
      <c r="F423" s="378"/>
      <c r="G423" s="378"/>
      <c r="H423" s="378"/>
      <c r="I423" s="376">
        <v>45218</v>
      </c>
      <c r="J423" s="376">
        <v>8978771273</v>
      </c>
      <c r="K423" s="379"/>
    </row>
    <row r="424" spans="1:11">
      <c r="A424" s="374">
        <v>422</v>
      </c>
      <c r="B424" s="375" t="s">
        <v>497</v>
      </c>
      <c r="C424" s="375">
        <v>8978767162</v>
      </c>
      <c r="D424" s="375" t="s">
        <v>483</v>
      </c>
      <c r="E424" s="376">
        <v>45698</v>
      </c>
      <c r="F424" s="377" t="s">
        <v>8</v>
      </c>
      <c r="G424" s="378"/>
      <c r="H424" s="378"/>
      <c r="I424" s="376">
        <v>45680</v>
      </c>
      <c r="J424" s="376">
        <v>45680</v>
      </c>
      <c r="K424" s="379">
        <v>8978767232</v>
      </c>
    </row>
    <row r="425" spans="1:11">
      <c r="A425" s="374">
        <v>423</v>
      </c>
      <c r="B425" s="375" t="s">
        <v>541</v>
      </c>
      <c r="C425" s="375">
        <v>7551909072</v>
      </c>
      <c r="D425" s="375" t="s">
        <v>243</v>
      </c>
      <c r="E425" s="376">
        <v>45704</v>
      </c>
      <c r="F425" s="377" t="s">
        <v>476</v>
      </c>
      <c r="G425" s="378"/>
      <c r="H425" s="378"/>
      <c r="I425" s="376">
        <v>45674</v>
      </c>
      <c r="J425" s="376"/>
      <c r="K425" s="379"/>
    </row>
    <row r="426" spans="1:11">
      <c r="A426" s="374">
        <v>424</v>
      </c>
      <c r="B426" s="375" t="s">
        <v>484</v>
      </c>
      <c r="C426" s="375">
        <v>7552165933</v>
      </c>
      <c r="D426" s="375" t="s">
        <v>297</v>
      </c>
      <c r="E426" s="376">
        <v>45704</v>
      </c>
      <c r="F426" s="377" t="s">
        <v>476</v>
      </c>
      <c r="G426" s="378"/>
      <c r="H426" s="378"/>
      <c r="I426" s="376">
        <v>45632</v>
      </c>
      <c r="J426" s="376">
        <v>45632</v>
      </c>
      <c r="K426" s="379">
        <v>7552165932</v>
      </c>
    </row>
    <row r="427" spans="1:11">
      <c r="A427" s="374">
        <v>425</v>
      </c>
      <c r="B427" s="375" t="s">
        <v>497</v>
      </c>
      <c r="C427" s="375">
        <v>8972760042</v>
      </c>
      <c r="D427" s="375" t="s">
        <v>243</v>
      </c>
      <c r="E427" s="376">
        <v>45704</v>
      </c>
      <c r="F427" s="377" t="s">
        <v>536</v>
      </c>
      <c r="G427" s="378"/>
      <c r="H427" s="378"/>
      <c r="I427" s="376">
        <v>45646</v>
      </c>
      <c r="J427" s="376">
        <v>45646</v>
      </c>
      <c r="K427" s="379">
        <v>8972760041</v>
      </c>
    </row>
    <row r="428" spans="1:11">
      <c r="A428" s="378">
        <v>426</v>
      </c>
      <c r="B428" s="379" t="s">
        <v>543</v>
      </c>
      <c r="C428" s="379">
        <v>8972799793</v>
      </c>
      <c r="D428" s="380" t="s">
        <v>247</v>
      </c>
      <c r="E428" s="376">
        <v>45704</v>
      </c>
      <c r="F428" s="378"/>
      <c r="G428" s="378"/>
      <c r="H428" s="378"/>
      <c r="I428" s="376">
        <v>45219</v>
      </c>
      <c r="J428" s="376">
        <v>8972799793</v>
      </c>
      <c r="K428" s="379"/>
    </row>
    <row r="429" spans="1:11">
      <c r="A429" s="384">
        <v>427</v>
      </c>
      <c r="B429" s="385" t="s">
        <v>543</v>
      </c>
      <c r="C429" s="379">
        <v>8972799803</v>
      </c>
      <c r="D429" s="380" t="s">
        <v>247</v>
      </c>
      <c r="E429" s="376">
        <v>45704</v>
      </c>
      <c r="F429" s="378"/>
      <c r="G429" s="378"/>
      <c r="H429" s="378"/>
      <c r="I429" s="376">
        <v>45219</v>
      </c>
      <c r="J429" s="376">
        <v>8972799803</v>
      </c>
      <c r="K429" s="379"/>
    </row>
    <row r="430" spans="1:11">
      <c r="A430" s="378">
        <v>428</v>
      </c>
      <c r="B430" s="379" t="s">
        <v>463</v>
      </c>
      <c r="C430" s="379">
        <v>8976763140</v>
      </c>
      <c r="D430" s="380" t="s">
        <v>286</v>
      </c>
      <c r="E430" s="376">
        <v>45704</v>
      </c>
      <c r="F430" s="378"/>
      <c r="G430" s="378"/>
      <c r="H430" s="378"/>
      <c r="I430" s="376">
        <v>45219</v>
      </c>
      <c r="J430" s="376">
        <v>8976763140</v>
      </c>
      <c r="K430" s="379"/>
    </row>
    <row r="431" spans="1:11">
      <c r="A431" s="374">
        <v>429</v>
      </c>
      <c r="B431" s="375" t="s">
        <v>484</v>
      </c>
      <c r="C431" s="375">
        <v>8978845053</v>
      </c>
      <c r="D431" s="375" t="s">
        <v>258</v>
      </c>
      <c r="E431" s="376">
        <v>45704</v>
      </c>
      <c r="F431" s="377" t="s">
        <v>511</v>
      </c>
      <c r="G431" s="378"/>
      <c r="H431" s="378"/>
      <c r="I431" s="376">
        <v>45650</v>
      </c>
      <c r="J431" s="376">
        <v>45650</v>
      </c>
      <c r="K431" s="379">
        <v>8978845052</v>
      </c>
    </row>
    <row r="432" spans="1:11">
      <c r="A432" s="374">
        <v>430</v>
      </c>
      <c r="B432" s="375" t="s">
        <v>484</v>
      </c>
      <c r="C432" s="375">
        <v>7552165792</v>
      </c>
      <c r="D432" s="375" t="s">
        <v>297</v>
      </c>
      <c r="E432" s="376">
        <v>45711</v>
      </c>
      <c r="F432" s="377" t="s">
        <v>476</v>
      </c>
      <c r="G432" s="378"/>
      <c r="H432" s="378"/>
      <c r="I432" s="376">
        <v>45674</v>
      </c>
      <c r="J432" s="376">
        <v>45674</v>
      </c>
      <c r="K432" s="379">
        <v>7552166212</v>
      </c>
    </row>
    <row r="433" spans="1:11">
      <c r="A433" s="374">
        <v>431</v>
      </c>
      <c r="B433" s="375" t="s">
        <v>484</v>
      </c>
      <c r="C433" s="375">
        <v>7552410520</v>
      </c>
      <c r="D433" s="375" t="s">
        <v>356</v>
      </c>
      <c r="E433" s="376">
        <v>45711</v>
      </c>
      <c r="F433" s="377" t="s">
        <v>476</v>
      </c>
      <c r="G433" s="378"/>
      <c r="H433" s="378"/>
      <c r="I433" s="376">
        <v>45646</v>
      </c>
      <c r="J433" s="376">
        <v>45646</v>
      </c>
      <c r="K433" s="379">
        <v>7552410190</v>
      </c>
    </row>
    <row r="434" spans="1:11">
      <c r="A434" s="384">
        <v>432</v>
      </c>
      <c r="B434" s="385" t="s">
        <v>463</v>
      </c>
      <c r="C434" s="379">
        <v>8976763140</v>
      </c>
      <c r="D434" s="380" t="s">
        <v>286</v>
      </c>
      <c r="E434" s="376">
        <v>45711</v>
      </c>
      <c r="F434" s="378"/>
      <c r="G434" s="378"/>
      <c r="H434" s="378"/>
      <c r="I434" s="376">
        <v>45219</v>
      </c>
      <c r="J434" s="376">
        <v>8976763140</v>
      </c>
      <c r="K434" s="379"/>
    </row>
    <row r="435" spans="1:11">
      <c r="A435" s="378">
        <v>433</v>
      </c>
      <c r="B435" s="379" t="s">
        <v>543</v>
      </c>
      <c r="C435" s="379">
        <v>8978749105</v>
      </c>
      <c r="D435" s="380" t="s">
        <v>266</v>
      </c>
      <c r="E435" s="376">
        <v>45711</v>
      </c>
      <c r="F435" s="378"/>
      <c r="G435" s="378"/>
      <c r="H435" s="378"/>
      <c r="I435" s="376">
        <v>45223</v>
      </c>
      <c r="J435" s="376">
        <v>8978749105</v>
      </c>
      <c r="K435" s="379"/>
    </row>
    <row r="436" spans="1:11">
      <c r="A436" s="374">
        <v>434</v>
      </c>
      <c r="B436" s="375" t="s">
        <v>484</v>
      </c>
      <c r="C436" s="375">
        <v>8976763140</v>
      </c>
      <c r="D436" s="375" t="s">
        <v>286</v>
      </c>
      <c r="E436" s="376">
        <v>45712</v>
      </c>
      <c r="F436" s="377" t="s">
        <v>476</v>
      </c>
      <c r="G436" s="378"/>
      <c r="H436" s="378"/>
      <c r="I436" s="376">
        <v>45680</v>
      </c>
      <c r="J436" s="376">
        <v>45680</v>
      </c>
      <c r="K436" s="379">
        <v>8976784310</v>
      </c>
    </row>
    <row r="437" spans="1:11">
      <c r="A437" s="374">
        <v>435</v>
      </c>
      <c r="B437" s="375" t="s">
        <v>497</v>
      </c>
      <c r="C437" s="375">
        <v>8978749105</v>
      </c>
      <c r="D437" s="375" t="s">
        <v>266</v>
      </c>
      <c r="E437" s="376">
        <v>45712</v>
      </c>
      <c r="F437" s="377" t="s">
        <v>476</v>
      </c>
      <c r="G437" s="378"/>
      <c r="H437" s="378"/>
      <c r="I437" s="376">
        <v>45678</v>
      </c>
      <c r="J437" s="376">
        <v>45678</v>
      </c>
      <c r="K437" s="379"/>
    </row>
    <row r="438" spans="1:11">
      <c r="A438" s="378">
        <v>436</v>
      </c>
      <c r="B438" s="379" t="s">
        <v>486</v>
      </c>
      <c r="C438" s="379">
        <v>7551910310</v>
      </c>
      <c r="D438" s="380" t="s">
        <v>245</v>
      </c>
      <c r="E438" s="376">
        <v>45718</v>
      </c>
      <c r="F438" s="378"/>
      <c r="G438" s="378"/>
      <c r="H438" s="378"/>
      <c r="I438" s="376">
        <v>45141</v>
      </c>
      <c r="J438" s="376">
        <v>7551910310</v>
      </c>
      <c r="K438" s="379"/>
    </row>
    <row r="439" spans="1:11">
      <c r="A439" s="374">
        <v>437</v>
      </c>
      <c r="B439" s="375" t="s">
        <v>497</v>
      </c>
      <c r="C439" s="375">
        <v>7551910310</v>
      </c>
      <c r="D439" s="375" t="s">
        <v>245</v>
      </c>
      <c r="E439" s="376">
        <v>45718</v>
      </c>
      <c r="F439" s="377" t="s">
        <v>476</v>
      </c>
      <c r="G439" s="378"/>
      <c r="H439" s="378"/>
      <c r="I439" s="376">
        <v>45674</v>
      </c>
      <c r="J439" s="376">
        <v>45674</v>
      </c>
      <c r="K439" s="379">
        <v>7551909760</v>
      </c>
    </row>
    <row r="440" spans="1:11">
      <c r="A440" s="378">
        <v>438</v>
      </c>
      <c r="B440" s="379" t="s">
        <v>503</v>
      </c>
      <c r="C440" s="379">
        <v>7552165502</v>
      </c>
      <c r="D440" s="380" t="s">
        <v>297</v>
      </c>
      <c r="E440" s="376">
        <v>45718</v>
      </c>
      <c r="F440" s="378"/>
      <c r="G440" s="378"/>
      <c r="H440" s="378"/>
      <c r="I440" s="376">
        <v>45141</v>
      </c>
      <c r="J440" s="376">
        <v>7552165502</v>
      </c>
      <c r="K440" s="379"/>
    </row>
    <row r="441" spans="1:11">
      <c r="A441" s="384">
        <v>439</v>
      </c>
      <c r="B441" s="385" t="s">
        <v>544</v>
      </c>
      <c r="C441" s="379">
        <v>7552165752</v>
      </c>
      <c r="D441" s="379" t="s">
        <v>524</v>
      </c>
      <c r="E441" s="376">
        <v>45718</v>
      </c>
      <c r="F441" s="378"/>
      <c r="G441" s="378"/>
      <c r="H441" s="378"/>
      <c r="I441" s="376">
        <v>45224</v>
      </c>
      <c r="J441" s="376">
        <v>7552165752</v>
      </c>
      <c r="K441" s="379"/>
    </row>
    <row r="442" spans="1:11">
      <c r="A442" s="378">
        <v>440</v>
      </c>
      <c r="B442" s="379" t="s">
        <v>503</v>
      </c>
      <c r="C442" s="379">
        <v>7552165922</v>
      </c>
      <c r="D442" s="380" t="s">
        <v>297</v>
      </c>
      <c r="E442" s="376">
        <v>45718</v>
      </c>
      <c r="F442" s="378"/>
      <c r="G442" s="378"/>
      <c r="H442" s="378"/>
      <c r="I442" s="376">
        <v>45141</v>
      </c>
      <c r="J442" s="376">
        <v>7552165922</v>
      </c>
      <c r="K442" s="379"/>
    </row>
    <row r="443" spans="1:11">
      <c r="A443" s="378">
        <v>441</v>
      </c>
      <c r="B443" s="379" t="s">
        <v>503</v>
      </c>
      <c r="C443" s="379">
        <v>7552227682</v>
      </c>
      <c r="D443" s="380" t="s">
        <v>297</v>
      </c>
      <c r="E443" s="376">
        <v>45718</v>
      </c>
      <c r="F443" s="378"/>
      <c r="G443" s="378"/>
      <c r="H443" s="378"/>
      <c r="I443" s="376">
        <v>45141</v>
      </c>
      <c r="J443" s="376">
        <v>7552227682</v>
      </c>
      <c r="K443" s="379"/>
    </row>
    <row r="444" spans="1:11">
      <c r="A444" s="384">
        <v>442</v>
      </c>
      <c r="B444" s="385" t="s">
        <v>544</v>
      </c>
      <c r="C444" s="379">
        <v>7552282562</v>
      </c>
      <c r="D444" s="379" t="s">
        <v>524</v>
      </c>
      <c r="E444" s="376">
        <v>45718</v>
      </c>
      <c r="F444" s="378"/>
      <c r="G444" s="378"/>
      <c r="H444" s="378"/>
      <c r="I444" s="376">
        <v>45224</v>
      </c>
      <c r="J444" s="376">
        <v>7552282562</v>
      </c>
      <c r="K444" s="379"/>
    </row>
    <row r="445" spans="1:11">
      <c r="A445" s="378">
        <v>443</v>
      </c>
      <c r="B445" s="379" t="s">
        <v>463</v>
      </c>
      <c r="C445" s="379">
        <v>7552305310</v>
      </c>
      <c r="D445" s="380" t="s">
        <v>356</v>
      </c>
      <c r="E445" s="376">
        <v>45718</v>
      </c>
      <c r="F445" s="378"/>
      <c r="G445" s="378"/>
      <c r="H445" s="378"/>
      <c r="I445" s="376">
        <v>45223</v>
      </c>
      <c r="J445" s="376">
        <v>7552305310</v>
      </c>
      <c r="K445" s="379"/>
    </row>
    <row r="446" spans="1:11">
      <c r="A446" s="384">
        <v>444</v>
      </c>
      <c r="B446" s="385" t="s">
        <v>463</v>
      </c>
      <c r="C446" s="379">
        <v>7552305330</v>
      </c>
      <c r="D446" s="380" t="s">
        <v>356</v>
      </c>
      <c r="E446" s="376">
        <v>45718</v>
      </c>
      <c r="F446" s="378"/>
      <c r="G446" s="378"/>
      <c r="H446" s="378"/>
      <c r="I446" s="376">
        <v>45224</v>
      </c>
      <c r="J446" s="376">
        <v>7552305330</v>
      </c>
      <c r="K446" s="379"/>
    </row>
    <row r="447" spans="1:11">
      <c r="A447" s="374">
        <v>445</v>
      </c>
      <c r="B447" s="375" t="s">
        <v>497</v>
      </c>
      <c r="C447" s="375">
        <v>7552378540</v>
      </c>
      <c r="D447" s="375" t="s">
        <v>247</v>
      </c>
      <c r="E447" s="376">
        <v>45718</v>
      </c>
      <c r="F447" s="377" t="s">
        <v>476</v>
      </c>
      <c r="G447" s="378"/>
      <c r="H447" s="378"/>
      <c r="I447" s="376">
        <v>45623</v>
      </c>
      <c r="J447" s="376">
        <v>45623</v>
      </c>
      <c r="K447" s="379"/>
    </row>
    <row r="448" spans="1:11">
      <c r="A448" s="378">
        <v>446</v>
      </c>
      <c r="B448" s="379" t="s">
        <v>543</v>
      </c>
      <c r="C448" s="379">
        <v>8972799793</v>
      </c>
      <c r="D448" s="380" t="s">
        <v>247</v>
      </c>
      <c r="E448" s="376">
        <v>45718</v>
      </c>
      <c r="F448" s="378"/>
      <c r="G448" s="378"/>
      <c r="H448" s="378"/>
      <c r="I448" s="376">
        <v>45245</v>
      </c>
      <c r="J448" s="376">
        <v>8972799793</v>
      </c>
      <c r="K448" s="379"/>
    </row>
    <row r="449" spans="1:11">
      <c r="A449" s="384">
        <v>447</v>
      </c>
      <c r="B449" s="385" t="s">
        <v>544</v>
      </c>
      <c r="C449" s="379">
        <v>8978836762</v>
      </c>
      <c r="D449" s="379" t="s">
        <v>524</v>
      </c>
      <c r="E449" s="376">
        <v>45718</v>
      </c>
      <c r="F449" s="378"/>
      <c r="G449" s="378"/>
      <c r="H449" s="378"/>
      <c r="I449" s="376">
        <v>45224</v>
      </c>
      <c r="J449" s="376">
        <v>8978836762</v>
      </c>
      <c r="K449" s="379"/>
    </row>
    <row r="450" spans="1:11">
      <c r="A450" s="374">
        <v>448</v>
      </c>
      <c r="B450" s="375" t="s">
        <v>497</v>
      </c>
      <c r="C450" s="375">
        <v>7552127183</v>
      </c>
      <c r="D450" s="375" t="s">
        <v>545</v>
      </c>
      <c r="E450" s="376">
        <v>45719</v>
      </c>
      <c r="F450" s="377" t="s">
        <v>476</v>
      </c>
      <c r="G450" s="378"/>
      <c r="H450" s="378"/>
      <c r="I450" s="376">
        <v>45716</v>
      </c>
      <c r="J450" s="376">
        <v>45716</v>
      </c>
      <c r="K450" s="379">
        <v>7552127193</v>
      </c>
    </row>
    <row r="451" spans="1:11">
      <c r="A451" s="374">
        <v>449</v>
      </c>
      <c r="B451" s="375" t="s">
        <v>484</v>
      </c>
      <c r="C451" s="375">
        <v>7552305310</v>
      </c>
      <c r="D451" s="375" t="s">
        <v>356</v>
      </c>
      <c r="E451" s="376">
        <v>45719</v>
      </c>
      <c r="F451" s="377" t="s">
        <v>476</v>
      </c>
      <c r="G451" s="378"/>
      <c r="H451" s="378"/>
      <c r="I451" s="376">
        <v>45680</v>
      </c>
      <c r="J451" s="376">
        <v>45680</v>
      </c>
      <c r="K451" s="379">
        <v>7552305430</v>
      </c>
    </row>
    <row r="452" spans="1:11">
      <c r="A452" s="374">
        <v>450</v>
      </c>
      <c r="B452" s="375" t="s">
        <v>484</v>
      </c>
      <c r="C452" s="375">
        <v>7552305330</v>
      </c>
      <c r="D452" s="375" t="s">
        <v>356</v>
      </c>
      <c r="E452" s="376">
        <v>45719</v>
      </c>
      <c r="F452" s="377" t="s">
        <v>476</v>
      </c>
      <c r="G452" s="378"/>
      <c r="H452" s="378"/>
      <c r="I452" s="376">
        <v>45680</v>
      </c>
      <c r="J452" s="376">
        <v>45680</v>
      </c>
      <c r="K452" s="379">
        <v>7552305310</v>
      </c>
    </row>
    <row r="453" spans="1:11">
      <c r="A453" s="374">
        <v>451</v>
      </c>
      <c r="B453" s="375" t="s">
        <v>484</v>
      </c>
      <c r="C453" s="375">
        <v>7552701710</v>
      </c>
      <c r="D453" s="375" t="s">
        <v>545</v>
      </c>
      <c r="E453" s="376">
        <v>45719</v>
      </c>
      <c r="F453" s="377" t="s">
        <v>476</v>
      </c>
      <c r="G453" s="378"/>
      <c r="H453" s="378"/>
      <c r="I453" s="376">
        <v>45716</v>
      </c>
      <c r="J453" s="376">
        <v>45716</v>
      </c>
      <c r="K453" s="379">
        <v>7552378430</v>
      </c>
    </row>
    <row r="454" spans="1:11">
      <c r="A454" s="374">
        <v>452</v>
      </c>
      <c r="B454" s="375" t="s">
        <v>541</v>
      </c>
      <c r="C454" s="375">
        <v>8978362113</v>
      </c>
      <c r="D454" s="375" t="s">
        <v>237</v>
      </c>
      <c r="E454" s="376">
        <v>45719</v>
      </c>
      <c r="F454" s="377" t="s">
        <v>511</v>
      </c>
      <c r="G454" s="378" t="s">
        <v>476</v>
      </c>
      <c r="H454" s="378"/>
      <c r="I454" s="376">
        <v>45748</v>
      </c>
      <c r="J454" s="376"/>
      <c r="K454" s="379"/>
    </row>
    <row r="455" spans="1:11">
      <c r="A455" s="378">
        <v>453</v>
      </c>
      <c r="B455" s="379" t="s">
        <v>503</v>
      </c>
      <c r="C455" s="379">
        <v>7552165502</v>
      </c>
      <c r="D455" s="380" t="s">
        <v>297</v>
      </c>
      <c r="E455" s="376">
        <v>45725</v>
      </c>
      <c r="F455" s="378"/>
      <c r="G455" s="378"/>
      <c r="H455" s="378"/>
      <c r="I455" s="376">
        <v>45142</v>
      </c>
      <c r="J455" s="376">
        <v>7552165502</v>
      </c>
      <c r="K455" s="379"/>
    </row>
    <row r="456" spans="1:11">
      <c r="A456" s="378">
        <v>454</v>
      </c>
      <c r="B456" s="379" t="s">
        <v>546</v>
      </c>
      <c r="C456" s="379">
        <v>7552165752</v>
      </c>
      <c r="D456" s="380" t="s">
        <v>297</v>
      </c>
      <c r="E456" s="376">
        <v>45725</v>
      </c>
      <c r="F456" s="378"/>
      <c r="G456" s="378"/>
      <c r="H456" s="378"/>
      <c r="I456" s="376">
        <v>45141</v>
      </c>
      <c r="J456" s="376">
        <v>7552165752</v>
      </c>
      <c r="K456" s="379"/>
    </row>
    <row r="457" spans="1:11">
      <c r="A457" s="378">
        <v>455</v>
      </c>
      <c r="B457" s="379" t="s">
        <v>503</v>
      </c>
      <c r="C457" s="379">
        <v>7552165922</v>
      </c>
      <c r="D457" s="380" t="s">
        <v>297</v>
      </c>
      <c r="E457" s="376">
        <v>45725</v>
      </c>
      <c r="F457" s="378"/>
      <c r="G457" s="378"/>
      <c r="H457" s="378"/>
      <c r="I457" s="376">
        <v>45188</v>
      </c>
      <c r="J457" s="376">
        <v>7552165922</v>
      </c>
      <c r="K457" s="379"/>
    </row>
    <row r="458" spans="1:11">
      <c r="A458" s="374">
        <v>456</v>
      </c>
      <c r="B458" s="375" t="s">
        <v>484</v>
      </c>
      <c r="C458" s="375">
        <v>7552165922</v>
      </c>
      <c r="D458" s="375" t="s">
        <v>297</v>
      </c>
      <c r="E458" s="376">
        <v>45725</v>
      </c>
      <c r="F458" s="377" t="s">
        <v>476</v>
      </c>
      <c r="G458" s="378"/>
      <c r="H458" s="378"/>
      <c r="I458" s="376">
        <v>45674</v>
      </c>
      <c r="J458" s="376">
        <v>45674</v>
      </c>
      <c r="K458" s="379">
        <v>7552165933</v>
      </c>
    </row>
    <row r="459" spans="1:11">
      <c r="A459" s="374">
        <v>457</v>
      </c>
      <c r="B459" s="375" t="s">
        <v>484</v>
      </c>
      <c r="C459" s="375">
        <v>7552227682</v>
      </c>
      <c r="D459" s="375" t="s">
        <v>524</v>
      </c>
      <c r="E459" s="376">
        <v>45725</v>
      </c>
      <c r="F459" s="377" t="s">
        <v>476</v>
      </c>
      <c r="G459" s="378"/>
      <c r="H459" s="378"/>
      <c r="I459" s="376">
        <v>45674</v>
      </c>
      <c r="J459" s="376">
        <v>45674</v>
      </c>
      <c r="K459" s="379">
        <v>7552165932</v>
      </c>
    </row>
    <row r="460" spans="1:11">
      <c r="A460" s="378">
        <v>458</v>
      </c>
      <c r="B460" s="379" t="s">
        <v>546</v>
      </c>
      <c r="C460" s="379">
        <v>7552282562</v>
      </c>
      <c r="D460" s="380" t="s">
        <v>297</v>
      </c>
      <c r="E460" s="376">
        <v>45725</v>
      </c>
      <c r="F460" s="378"/>
      <c r="G460" s="378"/>
      <c r="H460" s="378"/>
      <c r="I460" s="376">
        <v>45141</v>
      </c>
      <c r="J460" s="376">
        <v>7552282562</v>
      </c>
      <c r="K460" s="379"/>
    </row>
    <row r="461" spans="1:11">
      <c r="A461" s="378">
        <v>459</v>
      </c>
      <c r="B461" s="379" t="s">
        <v>543</v>
      </c>
      <c r="C461" s="379">
        <v>7552319633</v>
      </c>
      <c r="D461" s="380" t="s">
        <v>352</v>
      </c>
      <c r="E461" s="376">
        <v>45725</v>
      </c>
      <c r="F461" s="378"/>
      <c r="G461" s="378"/>
      <c r="H461" s="378"/>
      <c r="I461" s="376">
        <v>45142</v>
      </c>
      <c r="J461" s="376">
        <v>7552319633</v>
      </c>
      <c r="K461" s="379"/>
    </row>
    <row r="462" spans="1:11">
      <c r="A462" s="378">
        <v>460</v>
      </c>
      <c r="B462" s="379" t="s">
        <v>543</v>
      </c>
      <c r="C462" s="379">
        <v>8972799723</v>
      </c>
      <c r="D462" s="380" t="s">
        <v>247</v>
      </c>
      <c r="E462" s="376">
        <v>45725</v>
      </c>
      <c r="F462" s="378"/>
      <c r="G462" s="378"/>
      <c r="H462" s="378"/>
      <c r="I462" s="376">
        <v>45141</v>
      </c>
      <c r="J462" s="376">
        <v>8972799723</v>
      </c>
      <c r="K462" s="379"/>
    </row>
    <row r="463" spans="1:11">
      <c r="A463" s="378">
        <v>461</v>
      </c>
      <c r="B463" s="379" t="s">
        <v>543</v>
      </c>
      <c r="C463" s="379">
        <v>8972799733</v>
      </c>
      <c r="D463" s="380" t="s">
        <v>247</v>
      </c>
      <c r="E463" s="376">
        <v>45725</v>
      </c>
      <c r="F463" s="378"/>
      <c r="G463" s="378"/>
      <c r="H463" s="378"/>
      <c r="I463" s="376">
        <v>45141</v>
      </c>
      <c r="J463" s="376">
        <v>8972799733</v>
      </c>
      <c r="K463" s="379"/>
    </row>
    <row r="464" spans="1:11">
      <c r="A464" s="378">
        <v>462</v>
      </c>
      <c r="B464" s="379" t="s">
        <v>543</v>
      </c>
      <c r="C464" s="379">
        <v>8972799783</v>
      </c>
      <c r="D464" s="380" t="s">
        <v>247</v>
      </c>
      <c r="E464" s="376">
        <v>45725</v>
      </c>
      <c r="F464" s="378"/>
      <c r="G464" s="378"/>
      <c r="H464" s="378"/>
      <c r="I464" s="376">
        <v>45142</v>
      </c>
      <c r="J464" s="376">
        <v>8972799783</v>
      </c>
      <c r="K464" s="379"/>
    </row>
    <row r="465" spans="1:11">
      <c r="A465" s="378">
        <v>463</v>
      </c>
      <c r="B465" s="379" t="s">
        <v>543</v>
      </c>
      <c r="C465" s="379">
        <v>8972799793</v>
      </c>
      <c r="D465" s="380" t="s">
        <v>247</v>
      </c>
      <c r="E465" s="376">
        <v>45725</v>
      </c>
      <c r="F465" s="378"/>
      <c r="G465" s="378"/>
      <c r="H465" s="378"/>
      <c r="I465" s="376">
        <v>45141</v>
      </c>
      <c r="J465" s="376">
        <v>8972799793</v>
      </c>
      <c r="K465" s="379"/>
    </row>
    <row r="466" spans="1:11">
      <c r="A466" s="378">
        <v>464</v>
      </c>
      <c r="B466" s="379" t="s">
        <v>543</v>
      </c>
      <c r="C466" s="379">
        <v>8972799803</v>
      </c>
      <c r="D466" s="380" t="s">
        <v>247</v>
      </c>
      <c r="E466" s="376">
        <v>45725</v>
      </c>
      <c r="F466" s="378"/>
      <c r="G466" s="378"/>
      <c r="H466" s="378"/>
      <c r="I466" s="376">
        <v>45142</v>
      </c>
      <c r="J466" s="376">
        <v>8972799803</v>
      </c>
      <c r="K466" s="379"/>
    </row>
    <row r="467" spans="1:11">
      <c r="A467" s="378">
        <v>465</v>
      </c>
      <c r="B467" s="379" t="s">
        <v>543</v>
      </c>
      <c r="C467" s="379">
        <v>8972799814</v>
      </c>
      <c r="D467" s="380" t="s">
        <v>247</v>
      </c>
      <c r="E467" s="376">
        <v>45725</v>
      </c>
      <c r="F467" s="378"/>
      <c r="G467" s="378"/>
      <c r="H467" s="378"/>
      <c r="I467" s="376">
        <v>45142</v>
      </c>
      <c r="J467" s="376">
        <v>8972799814</v>
      </c>
      <c r="K467" s="379"/>
    </row>
    <row r="468" spans="1:11">
      <c r="A468" s="378">
        <v>466</v>
      </c>
      <c r="B468" s="379" t="s">
        <v>543</v>
      </c>
      <c r="C468" s="379">
        <v>8972799833</v>
      </c>
      <c r="D468" s="380" t="s">
        <v>247</v>
      </c>
      <c r="E468" s="376">
        <v>45725</v>
      </c>
      <c r="F468" s="378"/>
      <c r="G468" s="378"/>
      <c r="H468" s="378"/>
      <c r="I468" s="376">
        <v>45142</v>
      </c>
      <c r="J468" s="376">
        <v>8972799833</v>
      </c>
      <c r="K468" s="379"/>
    </row>
    <row r="469" spans="1:11">
      <c r="A469" s="378">
        <v>467</v>
      </c>
      <c r="B469" s="379" t="s">
        <v>503</v>
      </c>
      <c r="C469" s="379">
        <v>8978771273</v>
      </c>
      <c r="D469" s="380" t="s">
        <v>539</v>
      </c>
      <c r="E469" s="376">
        <v>45725</v>
      </c>
      <c r="F469" s="378"/>
      <c r="G469" s="378"/>
      <c r="H469" s="378"/>
      <c r="I469" s="376">
        <v>45188</v>
      </c>
      <c r="J469" s="376">
        <v>8978771273</v>
      </c>
      <c r="K469" s="379"/>
    </row>
    <row r="470" spans="1:11">
      <c r="A470" s="374">
        <v>468</v>
      </c>
      <c r="B470" s="375" t="s">
        <v>497</v>
      </c>
      <c r="C470" s="375">
        <v>7552043202</v>
      </c>
      <c r="D470" s="375" t="s">
        <v>257</v>
      </c>
      <c r="E470" s="376">
        <v>45726</v>
      </c>
      <c r="F470" s="377" t="s">
        <v>8</v>
      </c>
      <c r="G470" s="378"/>
      <c r="H470" s="378"/>
      <c r="I470" s="376">
        <v>45712</v>
      </c>
      <c r="J470" s="376">
        <v>45712</v>
      </c>
      <c r="K470" s="379">
        <v>7552043242</v>
      </c>
    </row>
    <row r="471" spans="1:11">
      <c r="A471" s="374">
        <v>469</v>
      </c>
      <c r="B471" s="375" t="s">
        <v>484</v>
      </c>
      <c r="C471" s="375">
        <v>7552165502</v>
      </c>
      <c r="D471" s="375" t="s">
        <v>297</v>
      </c>
      <c r="E471" s="376">
        <v>45726</v>
      </c>
      <c r="F471" s="377" t="s">
        <v>476</v>
      </c>
      <c r="G471" s="378"/>
      <c r="H471" s="378"/>
      <c r="I471" s="376" t="s">
        <v>547</v>
      </c>
      <c r="J471" s="376" t="s">
        <v>547</v>
      </c>
      <c r="K471" s="379">
        <v>7552165752</v>
      </c>
    </row>
    <row r="472" spans="1:11">
      <c r="A472" s="374">
        <v>470</v>
      </c>
      <c r="B472" s="375" t="s">
        <v>484</v>
      </c>
      <c r="C472" s="375">
        <v>7552165752</v>
      </c>
      <c r="D472" s="375" t="s">
        <v>297</v>
      </c>
      <c r="E472" s="376">
        <v>45726</v>
      </c>
      <c r="F472" s="377" t="s">
        <v>8</v>
      </c>
      <c r="G472" s="378"/>
      <c r="H472" s="378"/>
      <c r="I472" s="376">
        <v>45693</v>
      </c>
      <c r="J472" s="376">
        <v>45693</v>
      </c>
      <c r="K472" s="379">
        <v>7552165922</v>
      </c>
    </row>
    <row r="473" spans="1:11">
      <c r="A473" s="374">
        <v>471</v>
      </c>
      <c r="B473" s="375" t="s">
        <v>484</v>
      </c>
      <c r="C473" s="375">
        <v>7552282562</v>
      </c>
      <c r="D473" s="375" t="s">
        <v>297</v>
      </c>
      <c r="E473" s="376">
        <v>45726</v>
      </c>
      <c r="F473" s="377" t="s">
        <v>8</v>
      </c>
      <c r="G473" s="378"/>
      <c r="H473" s="378"/>
      <c r="I473" s="376">
        <v>45693</v>
      </c>
      <c r="J473" s="376">
        <v>45693</v>
      </c>
      <c r="K473" s="379">
        <v>7552227682</v>
      </c>
    </row>
    <row r="474" spans="1:11">
      <c r="A474" s="374">
        <v>472</v>
      </c>
      <c r="B474" s="375" t="s">
        <v>484</v>
      </c>
      <c r="C474" s="375">
        <v>8978836762</v>
      </c>
      <c r="D474" s="375" t="s">
        <v>297</v>
      </c>
      <c r="E474" s="376">
        <v>45726</v>
      </c>
      <c r="F474" s="377" t="s">
        <v>8</v>
      </c>
      <c r="G474" s="378"/>
      <c r="H474" s="378"/>
      <c r="I474" s="376">
        <v>45686</v>
      </c>
      <c r="J474" s="376">
        <v>45686</v>
      </c>
      <c r="K474" s="379">
        <v>8978836772</v>
      </c>
    </row>
    <row r="475" spans="1:11">
      <c r="A475" s="378">
        <v>473</v>
      </c>
      <c r="B475" s="379" t="s">
        <v>543</v>
      </c>
      <c r="C475" s="379">
        <v>8972799723</v>
      </c>
      <c r="D475" s="380" t="s">
        <v>247</v>
      </c>
      <c r="E475" s="376">
        <v>45732</v>
      </c>
      <c r="F475" s="378"/>
      <c r="G475" s="378"/>
      <c r="H475" s="378"/>
      <c r="I475" s="376">
        <v>45188</v>
      </c>
      <c r="J475" s="376">
        <v>8972799723</v>
      </c>
      <c r="K475" s="379"/>
    </row>
    <row r="476" spans="1:11">
      <c r="A476" s="378">
        <v>474</v>
      </c>
      <c r="B476" s="379" t="s">
        <v>543</v>
      </c>
      <c r="C476" s="379">
        <v>8972799783</v>
      </c>
      <c r="D476" s="380" t="s">
        <v>247</v>
      </c>
      <c r="E476" s="376">
        <v>45732</v>
      </c>
      <c r="F476" s="378"/>
      <c r="G476" s="378"/>
      <c r="H476" s="378"/>
      <c r="I476" s="376">
        <v>45190</v>
      </c>
      <c r="J476" s="376">
        <v>8972799783</v>
      </c>
      <c r="K476" s="379"/>
    </row>
    <row r="477" spans="1:11">
      <c r="A477" s="378">
        <v>475</v>
      </c>
      <c r="B477" s="379" t="s">
        <v>543</v>
      </c>
      <c r="C477" s="379">
        <v>8972799793</v>
      </c>
      <c r="D477" s="380" t="s">
        <v>247</v>
      </c>
      <c r="E477" s="376">
        <v>45732</v>
      </c>
      <c r="F477" s="378"/>
      <c r="G477" s="378"/>
      <c r="H477" s="378"/>
      <c r="I477" s="376">
        <v>45189</v>
      </c>
      <c r="J477" s="376">
        <v>8972799793</v>
      </c>
      <c r="K477" s="379"/>
    </row>
    <row r="478" spans="1:11">
      <c r="A478" s="378">
        <v>476</v>
      </c>
      <c r="B478" s="379" t="s">
        <v>543</v>
      </c>
      <c r="C478" s="379">
        <v>8972799814</v>
      </c>
      <c r="D478" s="380" t="s">
        <v>247</v>
      </c>
      <c r="E478" s="376">
        <v>45732</v>
      </c>
      <c r="F478" s="378"/>
      <c r="G478" s="378"/>
      <c r="H478" s="378"/>
      <c r="I478" s="376">
        <v>45190</v>
      </c>
      <c r="J478" s="376">
        <v>8972799814</v>
      </c>
      <c r="K478" s="379"/>
    </row>
    <row r="479" spans="1:11">
      <c r="A479" s="378">
        <v>477</v>
      </c>
      <c r="B479" s="379" t="s">
        <v>543</v>
      </c>
      <c r="C479" s="379">
        <v>8972799833</v>
      </c>
      <c r="D479" s="380" t="s">
        <v>247</v>
      </c>
      <c r="E479" s="376">
        <v>45732</v>
      </c>
      <c r="F479" s="378"/>
      <c r="G479" s="378"/>
      <c r="H479" s="378"/>
      <c r="I479" s="376">
        <v>45190</v>
      </c>
      <c r="J479" s="376">
        <v>8972799833</v>
      </c>
      <c r="K479" s="379"/>
    </row>
    <row r="480" spans="1:11">
      <c r="A480" s="374">
        <v>478</v>
      </c>
      <c r="B480" s="375" t="s">
        <v>484</v>
      </c>
      <c r="C480" s="375">
        <v>8976793641</v>
      </c>
      <c r="D480" s="375" t="s">
        <v>12</v>
      </c>
      <c r="E480" s="376">
        <v>45733</v>
      </c>
      <c r="F480" s="377" t="s">
        <v>476</v>
      </c>
      <c r="G480" s="378"/>
      <c r="H480" s="378"/>
      <c r="I480" s="376">
        <v>45720</v>
      </c>
      <c r="J480" s="376">
        <v>45720</v>
      </c>
      <c r="K480" s="379">
        <v>8976762890</v>
      </c>
    </row>
    <row r="481" spans="1:11">
      <c r="A481" s="384">
        <v>479</v>
      </c>
      <c r="B481" s="385" t="s">
        <v>548</v>
      </c>
      <c r="C481" s="379">
        <v>7552165502</v>
      </c>
      <c r="D481" s="380" t="s">
        <v>297</v>
      </c>
      <c r="E481" s="376">
        <v>45739</v>
      </c>
      <c r="F481" s="378"/>
      <c r="G481" s="378"/>
      <c r="H481" s="378"/>
      <c r="I481" s="376">
        <v>45198</v>
      </c>
      <c r="J481" s="376">
        <v>7552165502</v>
      </c>
      <c r="K481" s="379"/>
    </row>
    <row r="482" spans="1:11">
      <c r="A482" s="378">
        <v>480</v>
      </c>
      <c r="B482" s="379" t="s">
        <v>503</v>
      </c>
      <c r="C482" s="379">
        <v>7552165922</v>
      </c>
      <c r="D482" s="380" t="s">
        <v>297</v>
      </c>
      <c r="E482" s="376">
        <v>45739</v>
      </c>
      <c r="F482" s="378"/>
      <c r="G482" s="378"/>
      <c r="H482" s="378"/>
      <c r="I482" s="376">
        <v>45203</v>
      </c>
      <c r="J482" s="376">
        <v>7552165922</v>
      </c>
      <c r="K482" s="379"/>
    </row>
    <row r="483" spans="1:11">
      <c r="A483" s="378">
        <v>481</v>
      </c>
      <c r="B483" s="379" t="s">
        <v>543</v>
      </c>
      <c r="C483" s="379">
        <v>8972799733</v>
      </c>
      <c r="D483" s="380" t="s">
        <v>247</v>
      </c>
      <c r="E483" s="376">
        <v>45739</v>
      </c>
      <c r="F483" s="378"/>
      <c r="G483" s="378"/>
      <c r="H483" s="378"/>
      <c r="I483" s="376">
        <v>45191</v>
      </c>
      <c r="J483" s="376">
        <v>8972799733</v>
      </c>
      <c r="K483" s="379"/>
    </row>
    <row r="484" spans="1:11">
      <c r="A484" s="378">
        <v>482</v>
      </c>
      <c r="B484" s="379" t="s">
        <v>543</v>
      </c>
      <c r="C484" s="379">
        <v>8972799783</v>
      </c>
      <c r="D484" s="380" t="s">
        <v>247</v>
      </c>
      <c r="E484" s="376">
        <v>45739</v>
      </c>
      <c r="F484" s="378"/>
      <c r="G484" s="378"/>
      <c r="H484" s="378"/>
      <c r="I484" s="376">
        <v>45197</v>
      </c>
      <c r="J484" s="376">
        <v>8972799783</v>
      </c>
      <c r="K484" s="379"/>
    </row>
    <row r="485" spans="1:11">
      <c r="A485" s="378">
        <v>483</v>
      </c>
      <c r="B485" s="379" t="s">
        <v>543</v>
      </c>
      <c r="C485" s="379">
        <v>8972799793</v>
      </c>
      <c r="D485" s="380" t="s">
        <v>247</v>
      </c>
      <c r="E485" s="376">
        <v>45739</v>
      </c>
      <c r="F485" s="378"/>
      <c r="G485" s="378"/>
      <c r="H485" s="378"/>
      <c r="I485" s="376">
        <v>45191</v>
      </c>
      <c r="J485" s="376">
        <v>8972799793</v>
      </c>
      <c r="K485" s="379"/>
    </row>
    <row r="486" spans="1:11">
      <c r="A486" s="384">
        <v>484</v>
      </c>
      <c r="B486" s="385" t="s">
        <v>543</v>
      </c>
      <c r="C486" s="379">
        <v>8972799814</v>
      </c>
      <c r="D486" s="380" t="s">
        <v>247</v>
      </c>
      <c r="E486" s="376">
        <v>45739</v>
      </c>
      <c r="F486" s="378"/>
      <c r="G486" s="378"/>
      <c r="H486" s="378"/>
      <c r="I486" s="376">
        <v>45197</v>
      </c>
      <c r="J486" s="376">
        <v>8972799814</v>
      </c>
      <c r="K486" s="379"/>
    </row>
    <row r="487" spans="1:11">
      <c r="A487" s="374">
        <v>485</v>
      </c>
      <c r="B487" s="375" t="s">
        <v>484</v>
      </c>
      <c r="C487" s="375">
        <v>7552282552</v>
      </c>
      <c r="D487" s="375" t="s">
        <v>297</v>
      </c>
      <c r="E487" s="376">
        <v>45740</v>
      </c>
      <c r="F487" s="377" t="s">
        <v>476</v>
      </c>
      <c r="G487" s="378"/>
      <c r="H487" s="378"/>
      <c r="I487" s="376">
        <v>45741</v>
      </c>
      <c r="J487" s="376">
        <v>45741</v>
      </c>
      <c r="K487" s="379">
        <v>7552282562</v>
      </c>
    </row>
    <row r="488" spans="1:11">
      <c r="A488" s="374">
        <v>486</v>
      </c>
      <c r="B488" s="375" t="s">
        <v>497</v>
      </c>
      <c r="C488" s="375">
        <v>8978749105</v>
      </c>
      <c r="D488" s="375" t="s">
        <v>480</v>
      </c>
      <c r="E488" s="376">
        <v>45740</v>
      </c>
      <c r="F488" s="377" t="s">
        <v>476</v>
      </c>
      <c r="G488" s="378"/>
      <c r="H488" s="378"/>
      <c r="I488" s="376">
        <v>45678</v>
      </c>
      <c r="J488" s="376">
        <v>45678</v>
      </c>
      <c r="K488" s="379"/>
    </row>
    <row r="489" spans="1:11">
      <c r="A489" s="374">
        <v>487</v>
      </c>
      <c r="B489" s="375" t="s">
        <v>497</v>
      </c>
      <c r="C489" s="375" t="s">
        <v>549</v>
      </c>
      <c r="D489" s="375" t="s">
        <v>545</v>
      </c>
      <c r="E489" s="376">
        <v>45740</v>
      </c>
      <c r="F489" s="377" t="s">
        <v>476</v>
      </c>
      <c r="G489" s="378"/>
      <c r="H489" s="378"/>
      <c r="I489" s="376">
        <v>45728</v>
      </c>
      <c r="J489" s="376"/>
      <c r="K489" s="379">
        <v>7552701710</v>
      </c>
    </row>
    <row r="490" spans="1:11">
      <c r="A490" s="374">
        <v>488</v>
      </c>
      <c r="B490" s="375" t="s">
        <v>497</v>
      </c>
      <c r="C490" s="375" t="s">
        <v>550</v>
      </c>
      <c r="D490" s="375" t="s">
        <v>545</v>
      </c>
      <c r="E490" s="376">
        <v>45740</v>
      </c>
      <c r="F490" s="377" t="s">
        <v>476</v>
      </c>
      <c r="G490" s="378"/>
      <c r="H490" s="378"/>
      <c r="I490" s="376">
        <v>45728</v>
      </c>
      <c r="J490" s="376"/>
      <c r="K490" s="379">
        <v>7552127183</v>
      </c>
    </row>
    <row r="491" spans="1:11">
      <c r="A491" s="374">
        <v>489</v>
      </c>
      <c r="B491" s="375" t="s">
        <v>484</v>
      </c>
      <c r="C491" s="375">
        <v>7552165121</v>
      </c>
      <c r="D491" s="375" t="s">
        <v>551</v>
      </c>
      <c r="E491" s="376">
        <v>45742</v>
      </c>
      <c r="F491" s="377" t="s">
        <v>476</v>
      </c>
      <c r="G491" s="378"/>
      <c r="H491" s="378"/>
      <c r="I491" s="376">
        <v>45742</v>
      </c>
      <c r="J491" s="376"/>
      <c r="K491" s="379">
        <v>7552165161</v>
      </c>
    </row>
    <row r="492" spans="1:11">
      <c r="A492" s="374">
        <v>490</v>
      </c>
      <c r="B492" s="375" t="s">
        <v>497</v>
      </c>
      <c r="C492" s="375" t="s">
        <v>552</v>
      </c>
      <c r="D492" s="375" t="s">
        <v>202</v>
      </c>
      <c r="E492" s="376">
        <v>45743</v>
      </c>
      <c r="F492" s="377" t="s">
        <v>476</v>
      </c>
      <c r="G492" s="378"/>
      <c r="H492" s="378"/>
      <c r="I492" s="376">
        <v>45728</v>
      </c>
      <c r="J492" s="376"/>
      <c r="K492" s="379"/>
    </row>
    <row r="493" spans="1:11">
      <c r="A493" s="386">
        <v>491</v>
      </c>
      <c r="B493" s="387" t="s">
        <v>503</v>
      </c>
      <c r="C493" s="387">
        <v>7552165502</v>
      </c>
      <c r="D493" s="388" t="s">
        <v>297</v>
      </c>
      <c r="E493" s="389">
        <v>45746</v>
      </c>
      <c r="F493" s="386"/>
      <c r="G493" s="386"/>
      <c r="H493" s="386"/>
      <c r="I493" s="389">
        <v>45212</v>
      </c>
      <c r="J493" s="389">
        <v>7552165502</v>
      </c>
      <c r="K493" s="354"/>
    </row>
    <row r="494" spans="1:11">
      <c r="A494" s="386">
        <v>492</v>
      </c>
      <c r="B494" s="387" t="s">
        <v>503</v>
      </c>
      <c r="C494" s="387">
        <v>7552165922</v>
      </c>
      <c r="D494" s="388" t="s">
        <v>297</v>
      </c>
      <c r="E494" s="389">
        <v>45746</v>
      </c>
      <c r="F494" s="386"/>
      <c r="G494" s="386"/>
      <c r="H494" s="386"/>
      <c r="I494" s="389">
        <v>45216</v>
      </c>
      <c r="J494" s="389">
        <v>7552165922</v>
      </c>
      <c r="K494" s="354"/>
    </row>
    <row r="495" spans="1:11">
      <c r="A495" s="378">
        <v>493</v>
      </c>
      <c r="B495" s="379" t="s">
        <v>546</v>
      </c>
      <c r="C495" s="379">
        <v>7552241390</v>
      </c>
      <c r="D495" s="380" t="s">
        <v>257</v>
      </c>
      <c r="E495" s="376">
        <v>45746</v>
      </c>
      <c r="F495" s="378"/>
      <c r="G495" s="378"/>
      <c r="H495" s="378"/>
      <c r="I495" s="376">
        <v>45203</v>
      </c>
      <c r="J495" s="376">
        <v>7552241390</v>
      </c>
      <c r="K495" s="379"/>
    </row>
    <row r="496" spans="1:11">
      <c r="A496" s="378">
        <v>494</v>
      </c>
      <c r="B496" s="379" t="s">
        <v>546</v>
      </c>
      <c r="C496" s="390">
        <v>7552264530</v>
      </c>
      <c r="D496" s="380" t="s">
        <v>257</v>
      </c>
      <c r="E496" s="391">
        <v>45746</v>
      </c>
      <c r="F496" s="377"/>
      <c r="G496" s="377"/>
      <c r="H496" s="377"/>
      <c r="I496" s="376">
        <v>45209</v>
      </c>
      <c r="J496" s="376">
        <v>7552264530</v>
      </c>
      <c r="K496" s="379"/>
    </row>
    <row r="497" spans="1:11">
      <c r="A497" s="378">
        <v>495</v>
      </c>
      <c r="B497" s="379" t="s">
        <v>546</v>
      </c>
      <c r="C497" s="390">
        <v>7552264670</v>
      </c>
      <c r="D497" s="380" t="s">
        <v>257</v>
      </c>
      <c r="E497" s="391">
        <v>45746</v>
      </c>
      <c r="F497" s="377"/>
      <c r="G497" s="377"/>
      <c r="H497" s="377"/>
      <c r="I497" s="376">
        <v>45209</v>
      </c>
      <c r="J497" s="376">
        <v>7552264670</v>
      </c>
      <c r="K497" s="379"/>
    </row>
    <row r="498" spans="1:11">
      <c r="A498" s="378">
        <v>496</v>
      </c>
      <c r="B498" s="379" t="s">
        <v>546</v>
      </c>
      <c r="C498" s="390">
        <v>7552735780</v>
      </c>
      <c r="D498" s="380" t="s">
        <v>237</v>
      </c>
      <c r="E498" s="391">
        <v>45746</v>
      </c>
      <c r="F498" s="377"/>
      <c r="G498" s="377"/>
      <c r="H498" s="377"/>
      <c r="I498" s="376">
        <v>45210</v>
      </c>
      <c r="J498" s="376">
        <v>7552735780</v>
      </c>
      <c r="K498" s="379"/>
    </row>
    <row r="499" spans="1:11">
      <c r="A499" s="378">
        <v>497</v>
      </c>
      <c r="B499" s="379" t="s">
        <v>546</v>
      </c>
      <c r="C499" s="379">
        <v>7552735790</v>
      </c>
      <c r="D499" s="380" t="s">
        <v>237</v>
      </c>
      <c r="E499" s="376">
        <v>45746</v>
      </c>
      <c r="F499" s="378"/>
      <c r="G499" s="378"/>
      <c r="H499" s="378"/>
      <c r="I499" s="376">
        <v>45210</v>
      </c>
      <c r="J499" s="376">
        <v>7552735790</v>
      </c>
      <c r="K499" s="379"/>
    </row>
    <row r="500" spans="1:11">
      <c r="A500" s="378">
        <v>498</v>
      </c>
      <c r="B500" s="379" t="s">
        <v>543</v>
      </c>
      <c r="C500" s="379">
        <v>8972799723</v>
      </c>
      <c r="D500" s="380" t="s">
        <v>247</v>
      </c>
      <c r="E500" s="376">
        <v>45746</v>
      </c>
      <c r="F500" s="378"/>
      <c r="G500" s="378"/>
      <c r="H500" s="378"/>
      <c r="I500" s="376">
        <v>45210</v>
      </c>
      <c r="J500" s="376">
        <v>8972799723</v>
      </c>
      <c r="K500" s="379"/>
    </row>
    <row r="501" spans="1:11">
      <c r="A501" s="378">
        <v>499</v>
      </c>
      <c r="B501" s="379" t="s">
        <v>543</v>
      </c>
      <c r="C501" s="379">
        <v>8972799733</v>
      </c>
      <c r="D501" s="380" t="s">
        <v>247</v>
      </c>
      <c r="E501" s="376">
        <v>45746</v>
      </c>
      <c r="F501" s="378"/>
      <c r="G501" s="378"/>
      <c r="H501" s="378"/>
      <c r="I501" s="376">
        <v>45210</v>
      </c>
      <c r="J501" s="376">
        <v>8972799733</v>
      </c>
      <c r="K501" s="379"/>
    </row>
    <row r="502" spans="1:11">
      <c r="A502" s="378">
        <v>500</v>
      </c>
      <c r="B502" s="379" t="s">
        <v>543</v>
      </c>
      <c r="C502" s="379">
        <v>8972799783</v>
      </c>
      <c r="D502" s="380" t="s">
        <v>247</v>
      </c>
      <c r="E502" s="376">
        <v>45746</v>
      </c>
      <c r="F502" s="378"/>
      <c r="G502" s="378"/>
      <c r="H502" s="378"/>
      <c r="I502" s="376">
        <v>45211</v>
      </c>
      <c r="J502" s="376">
        <v>8972799783</v>
      </c>
      <c r="K502" s="379"/>
    </row>
    <row r="503" spans="1:11">
      <c r="A503" s="378">
        <v>501</v>
      </c>
      <c r="B503" s="379" t="s">
        <v>543</v>
      </c>
      <c r="C503" s="390">
        <v>8972799793</v>
      </c>
      <c r="D503" s="380" t="s">
        <v>247</v>
      </c>
      <c r="E503" s="391">
        <v>45746</v>
      </c>
      <c r="F503" s="377"/>
      <c r="G503" s="377"/>
      <c r="H503" s="377"/>
      <c r="I503" s="376">
        <v>45210</v>
      </c>
      <c r="J503" s="376">
        <v>8972799793</v>
      </c>
      <c r="K503" s="379"/>
    </row>
    <row r="504" spans="1:11">
      <c r="A504" s="378">
        <v>502</v>
      </c>
      <c r="B504" s="379" t="s">
        <v>543</v>
      </c>
      <c r="C504" s="379">
        <v>8972799803</v>
      </c>
      <c r="D504" s="380" t="s">
        <v>247</v>
      </c>
      <c r="E504" s="376">
        <v>45746</v>
      </c>
      <c r="F504" s="378"/>
      <c r="G504" s="378"/>
      <c r="H504" s="378"/>
      <c r="I504" s="376">
        <v>45211</v>
      </c>
      <c r="J504" s="376">
        <v>8972799803</v>
      </c>
      <c r="K504" s="379"/>
    </row>
    <row r="505" spans="1:11">
      <c r="A505" s="378">
        <v>503</v>
      </c>
      <c r="B505" s="379" t="s">
        <v>543</v>
      </c>
      <c r="C505" s="379">
        <v>8972799814</v>
      </c>
      <c r="D505" s="380" t="s">
        <v>247</v>
      </c>
      <c r="E505" s="376">
        <v>45746</v>
      </c>
      <c r="F505" s="378"/>
      <c r="G505" s="378"/>
      <c r="H505" s="378"/>
      <c r="I505" s="376">
        <v>45211</v>
      </c>
      <c r="J505" s="376">
        <v>8972799814</v>
      </c>
      <c r="K505" s="379"/>
    </row>
    <row r="506" spans="1:11">
      <c r="A506" s="378">
        <v>504</v>
      </c>
      <c r="B506" s="379" t="s">
        <v>543</v>
      </c>
      <c r="C506" s="379">
        <v>8972799833</v>
      </c>
      <c r="D506" s="380" t="s">
        <v>247</v>
      </c>
      <c r="E506" s="376">
        <v>45746</v>
      </c>
      <c r="F506" s="378"/>
      <c r="G506" s="378"/>
      <c r="H506" s="378"/>
      <c r="I506" s="376">
        <v>45211</v>
      </c>
      <c r="J506" s="376">
        <v>8972799833</v>
      </c>
      <c r="K506" s="379"/>
    </row>
    <row r="507" spans="1:11">
      <c r="A507" s="386">
        <v>505</v>
      </c>
      <c r="B507" s="387" t="s">
        <v>543</v>
      </c>
      <c r="C507" s="387">
        <v>8978749105</v>
      </c>
      <c r="D507" s="388" t="s">
        <v>266</v>
      </c>
      <c r="E507" s="389">
        <v>45746</v>
      </c>
      <c r="F507" s="386"/>
      <c r="G507" s="386"/>
      <c r="H507" s="386"/>
      <c r="I507" s="389">
        <v>45212</v>
      </c>
      <c r="J507" s="389">
        <v>8978749105</v>
      </c>
      <c r="K507" s="354"/>
    </row>
    <row r="508" spans="1:11">
      <c r="A508" s="392">
        <v>506</v>
      </c>
      <c r="B508" s="393" t="s">
        <v>548</v>
      </c>
      <c r="C508" s="387">
        <v>8978771273</v>
      </c>
      <c r="D508" s="388" t="s">
        <v>539</v>
      </c>
      <c r="E508" s="389">
        <v>45746</v>
      </c>
      <c r="F508" s="386"/>
      <c r="G508" s="386"/>
      <c r="H508" s="386"/>
      <c r="I508" s="389">
        <v>45225</v>
      </c>
      <c r="J508" s="389">
        <v>8978771273</v>
      </c>
      <c r="K508" s="354"/>
    </row>
    <row r="509" spans="1:11">
      <c r="A509" s="374">
        <v>507</v>
      </c>
      <c r="B509" s="375" t="s">
        <v>484</v>
      </c>
      <c r="C509" s="375">
        <v>8978408190</v>
      </c>
      <c r="D509" s="375" t="s">
        <v>12</v>
      </c>
      <c r="E509" s="376">
        <v>45747</v>
      </c>
      <c r="F509" s="377" t="s">
        <v>476</v>
      </c>
      <c r="G509" s="378"/>
      <c r="H509" s="378"/>
      <c r="I509" s="376">
        <v>45693</v>
      </c>
      <c r="J509" s="376">
        <v>45693</v>
      </c>
      <c r="K509" s="379">
        <v>8978408180</v>
      </c>
    </row>
    <row r="510" spans="1:11">
      <c r="A510" s="374">
        <v>508</v>
      </c>
      <c r="B510" s="375" t="s">
        <v>484</v>
      </c>
      <c r="C510" s="375">
        <v>8978408254</v>
      </c>
      <c r="D510" s="375" t="s">
        <v>553</v>
      </c>
      <c r="E510" s="376">
        <v>45749</v>
      </c>
      <c r="F510" s="377" t="s">
        <v>476</v>
      </c>
      <c r="G510" s="378"/>
      <c r="H510" s="378"/>
      <c r="I510" s="376">
        <v>45359</v>
      </c>
      <c r="J510" s="376">
        <v>45359</v>
      </c>
      <c r="K510" s="379"/>
    </row>
    <row r="511" spans="1:11">
      <c r="A511" s="384">
        <v>509</v>
      </c>
      <c r="B511" s="385" t="s">
        <v>544</v>
      </c>
      <c r="C511" s="379">
        <v>7552735790</v>
      </c>
      <c r="D511" s="379" t="s">
        <v>554</v>
      </c>
      <c r="E511" s="376">
        <v>45753</v>
      </c>
      <c r="F511" s="378"/>
      <c r="G511" s="378"/>
      <c r="H511" s="378"/>
      <c r="I511" s="376">
        <v>45225</v>
      </c>
      <c r="J511" s="376">
        <v>7552735790</v>
      </c>
      <c r="K511" s="379"/>
    </row>
    <row r="512" spans="1:11">
      <c r="A512" s="386">
        <v>510</v>
      </c>
      <c r="B512" s="387" t="s">
        <v>543</v>
      </c>
      <c r="C512" s="387">
        <v>8972799723</v>
      </c>
      <c r="D512" s="388" t="s">
        <v>555</v>
      </c>
      <c r="E512" s="389">
        <v>45753</v>
      </c>
      <c r="F512" s="394" t="s">
        <v>476</v>
      </c>
      <c r="G512" s="394"/>
      <c r="H512" s="394"/>
      <c r="I512" s="389">
        <v>45327</v>
      </c>
      <c r="J512" s="389">
        <v>8972799723</v>
      </c>
      <c r="K512" s="354"/>
    </row>
    <row r="513" spans="1:11">
      <c r="A513" s="386">
        <v>511</v>
      </c>
      <c r="B513" s="387" t="s">
        <v>543</v>
      </c>
      <c r="C513" s="387">
        <v>8972799733</v>
      </c>
      <c r="D513" s="388" t="s">
        <v>555</v>
      </c>
      <c r="E513" s="389">
        <v>45753</v>
      </c>
      <c r="F513" s="394" t="s">
        <v>476</v>
      </c>
      <c r="G513" s="394"/>
      <c r="H513" s="394"/>
      <c r="I513" s="389">
        <v>45327</v>
      </c>
      <c r="J513" s="389">
        <v>8972799733</v>
      </c>
      <c r="K513" s="354"/>
    </row>
    <row r="514" spans="1:11">
      <c r="A514" s="386">
        <v>512</v>
      </c>
      <c r="B514" s="387" t="s">
        <v>543</v>
      </c>
      <c r="C514" s="387">
        <v>8972799793</v>
      </c>
      <c r="D514" s="395" t="s">
        <v>555</v>
      </c>
      <c r="E514" s="389">
        <v>45753</v>
      </c>
      <c r="F514" s="394" t="s">
        <v>476</v>
      </c>
      <c r="G514" s="394"/>
      <c r="H514" s="394"/>
      <c r="I514" s="389">
        <v>45336</v>
      </c>
      <c r="J514" s="389">
        <v>8972799793</v>
      </c>
      <c r="K514" s="354"/>
    </row>
    <row r="515" spans="1:11">
      <c r="A515" s="394">
        <v>513</v>
      </c>
      <c r="B515" s="396" t="s">
        <v>543</v>
      </c>
      <c r="C515" s="387">
        <v>8972799803</v>
      </c>
      <c r="D515" s="388" t="s">
        <v>247</v>
      </c>
      <c r="E515" s="389">
        <v>45753</v>
      </c>
      <c r="F515" s="397" t="s">
        <v>476</v>
      </c>
      <c r="G515" s="386"/>
      <c r="H515" s="386"/>
      <c r="I515" s="389">
        <v>45573</v>
      </c>
      <c r="J515" s="389">
        <v>8972799803</v>
      </c>
      <c r="K515" s="354"/>
    </row>
    <row r="516" spans="1:11">
      <c r="A516" s="378">
        <v>514</v>
      </c>
      <c r="B516" s="379" t="s">
        <v>543</v>
      </c>
      <c r="C516" s="379">
        <v>8972799833</v>
      </c>
      <c r="D516" s="380" t="s">
        <v>555</v>
      </c>
      <c r="E516" s="376">
        <v>45753</v>
      </c>
      <c r="F516" s="374"/>
      <c r="G516" s="374"/>
      <c r="H516" s="374"/>
      <c r="I516" s="376">
        <v>45343</v>
      </c>
      <c r="J516" s="376">
        <v>8972799833</v>
      </c>
      <c r="K516" s="379"/>
    </row>
    <row r="517" spans="1:11">
      <c r="A517" s="374">
        <v>515</v>
      </c>
      <c r="B517" s="375" t="s">
        <v>497</v>
      </c>
      <c r="C517" s="375">
        <v>7551910270</v>
      </c>
      <c r="D517" s="375" t="s">
        <v>245</v>
      </c>
      <c r="E517" s="376">
        <v>45754</v>
      </c>
      <c r="F517" s="377" t="s">
        <v>511</v>
      </c>
      <c r="G517" s="378"/>
      <c r="H517" s="378"/>
      <c r="I517" s="376">
        <v>45712</v>
      </c>
      <c r="J517" s="376">
        <v>45712</v>
      </c>
      <c r="K517" s="379">
        <v>7551909750</v>
      </c>
    </row>
    <row r="518" spans="1:11">
      <c r="A518" s="374">
        <v>516</v>
      </c>
      <c r="B518" s="375" t="s">
        <v>484</v>
      </c>
      <c r="C518" s="375" t="s">
        <v>556</v>
      </c>
      <c r="D518" s="375" t="s">
        <v>557</v>
      </c>
      <c r="E518" s="376">
        <v>45758</v>
      </c>
      <c r="F518" s="377" t="s">
        <v>476</v>
      </c>
      <c r="G518" s="378"/>
      <c r="H518" s="378"/>
      <c r="I518" s="376">
        <v>45742</v>
      </c>
      <c r="J518" s="376"/>
      <c r="K518" s="379">
        <v>7552132050</v>
      </c>
    </row>
    <row r="519" spans="1:11">
      <c r="A519" s="374">
        <v>517</v>
      </c>
      <c r="B519" s="375" t="s">
        <v>484</v>
      </c>
      <c r="C519" s="375" t="s">
        <v>558</v>
      </c>
      <c r="D519" s="375" t="s">
        <v>551</v>
      </c>
      <c r="E519" s="376">
        <v>45758</v>
      </c>
      <c r="F519" s="377" t="s">
        <v>476</v>
      </c>
      <c r="G519" s="378"/>
      <c r="H519" s="378"/>
      <c r="I519" s="376">
        <v>45742</v>
      </c>
      <c r="J519" s="376"/>
      <c r="K519" s="379">
        <v>7552165121</v>
      </c>
    </row>
    <row r="520" spans="1:11">
      <c r="A520" s="374">
        <v>518</v>
      </c>
      <c r="B520" s="375" t="s">
        <v>541</v>
      </c>
      <c r="C520" s="375">
        <v>7552702910</v>
      </c>
      <c r="D520" s="375" t="s">
        <v>248</v>
      </c>
      <c r="E520" s="376">
        <v>45761</v>
      </c>
      <c r="F520" s="377" t="s">
        <v>511</v>
      </c>
      <c r="G520" s="378" t="s">
        <v>8</v>
      </c>
      <c r="H520" s="378"/>
      <c r="I520" s="376">
        <v>45749</v>
      </c>
      <c r="J520" s="376"/>
      <c r="K520" s="379"/>
    </row>
    <row r="521" spans="1:11">
      <c r="A521" s="374">
        <v>519</v>
      </c>
      <c r="B521" s="375" t="s">
        <v>541</v>
      </c>
      <c r="C521" s="375">
        <v>7552702920</v>
      </c>
      <c r="D521" s="375" t="s">
        <v>248</v>
      </c>
      <c r="E521" s="376">
        <v>45761</v>
      </c>
      <c r="F521" s="377" t="s">
        <v>511</v>
      </c>
      <c r="G521" s="378" t="s">
        <v>8</v>
      </c>
      <c r="H521" s="378"/>
      <c r="I521" s="376">
        <v>45749</v>
      </c>
      <c r="J521" s="376"/>
      <c r="K521" s="379"/>
    </row>
    <row r="522" spans="1:11">
      <c r="A522" s="374">
        <v>520</v>
      </c>
      <c r="B522" s="375" t="s">
        <v>541</v>
      </c>
      <c r="C522" s="375">
        <v>7552702950</v>
      </c>
      <c r="D522" s="375" t="s">
        <v>248</v>
      </c>
      <c r="E522" s="376">
        <v>45761</v>
      </c>
      <c r="F522" s="377" t="s">
        <v>511</v>
      </c>
      <c r="G522" s="378" t="s">
        <v>8</v>
      </c>
      <c r="H522" s="378"/>
      <c r="I522" s="376">
        <v>45749</v>
      </c>
      <c r="J522" s="376"/>
      <c r="K522" s="379"/>
    </row>
    <row r="523" spans="1:11">
      <c r="A523" s="374">
        <v>521</v>
      </c>
      <c r="B523" s="375" t="s">
        <v>541</v>
      </c>
      <c r="C523" s="375">
        <v>8972799833</v>
      </c>
      <c r="D523" s="375" t="s">
        <v>247</v>
      </c>
      <c r="E523" s="376">
        <v>45761</v>
      </c>
      <c r="F523" s="377" t="s">
        <v>476</v>
      </c>
      <c r="G523" s="378" t="s">
        <v>8</v>
      </c>
      <c r="H523" s="378"/>
      <c r="I523" s="376">
        <v>45749</v>
      </c>
      <c r="J523" s="376"/>
      <c r="K523" s="379"/>
    </row>
    <row r="524" spans="1:11">
      <c r="A524" s="374">
        <v>522</v>
      </c>
      <c r="B524" s="375" t="s">
        <v>484</v>
      </c>
      <c r="C524" s="375">
        <v>8983906420</v>
      </c>
      <c r="D524" s="375" t="s">
        <v>6</v>
      </c>
      <c r="E524" s="376">
        <v>45761</v>
      </c>
      <c r="F524" s="377" t="s">
        <v>511</v>
      </c>
      <c r="G524" s="378" t="s">
        <v>8</v>
      </c>
      <c r="H524" s="378"/>
      <c r="I524" s="376">
        <v>45720</v>
      </c>
      <c r="J524" s="376">
        <v>45720</v>
      </c>
      <c r="K524" s="379">
        <v>8983906470</v>
      </c>
    </row>
    <row r="525" spans="1:11">
      <c r="A525" s="374">
        <v>523</v>
      </c>
      <c r="B525" s="375" t="s">
        <v>497</v>
      </c>
      <c r="C525" s="375" t="s">
        <v>559</v>
      </c>
      <c r="D525" s="375" t="s">
        <v>202</v>
      </c>
      <c r="E525" s="376">
        <v>45761</v>
      </c>
      <c r="F525" s="377" t="s">
        <v>476</v>
      </c>
      <c r="G525" s="378"/>
      <c r="H525" s="378"/>
      <c r="I525" s="376">
        <v>45728</v>
      </c>
      <c r="J525" s="376"/>
      <c r="K525" s="379"/>
    </row>
    <row r="526" spans="1:11">
      <c r="A526" s="374">
        <v>524</v>
      </c>
      <c r="B526" s="375" t="s">
        <v>497</v>
      </c>
      <c r="C526" s="375">
        <v>8972681154</v>
      </c>
      <c r="D526" s="375" t="s">
        <v>256</v>
      </c>
      <c r="E526" s="376">
        <v>45768</v>
      </c>
      <c r="F526" s="377" t="s">
        <v>511</v>
      </c>
      <c r="G526" s="378"/>
      <c r="H526" s="378"/>
      <c r="I526" s="376">
        <v>45712</v>
      </c>
      <c r="J526" s="376">
        <v>45712</v>
      </c>
      <c r="K526" s="379">
        <v>8972681153</v>
      </c>
    </row>
    <row r="527" spans="1:11">
      <c r="A527" s="374">
        <v>525</v>
      </c>
      <c r="B527" s="375" t="s">
        <v>484</v>
      </c>
      <c r="C527" s="375">
        <v>7552165881</v>
      </c>
      <c r="D527" s="375" t="s">
        <v>287</v>
      </c>
      <c r="E527" s="376">
        <v>45775</v>
      </c>
      <c r="F527" s="377" t="s">
        <v>8</v>
      </c>
      <c r="G527" s="378" t="s">
        <v>8</v>
      </c>
      <c r="H527" s="378"/>
      <c r="I527" s="376">
        <v>45748</v>
      </c>
      <c r="J527" s="376">
        <v>45748</v>
      </c>
      <c r="K527" s="379">
        <v>7552165461</v>
      </c>
    </row>
    <row r="528" spans="1:11">
      <c r="A528" s="374">
        <v>526</v>
      </c>
      <c r="B528" s="375" t="s">
        <v>497</v>
      </c>
      <c r="C528" s="375">
        <v>7551885952</v>
      </c>
      <c r="D528" s="375" t="s">
        <v>257</v>
      </c>
      <c r="E528" s="376">
        <v>45782</v>
      </c>
      <c r="F528" s="377" t="s">
        <v>511</v>
      </c>
      <c r="G528" s="378"/>
      <c r="H528" s="378"/>
      <c r="I528" s="376">
        <v>45712</v>
      </c>
      <c r="J528" s="376">
        <v>45712</v>
      </c>
      <c r="K528" s="379">
        <v>7551885951</v>
      </c>
    </row>
    <row r="529" spans="1:11">
      <c r="A529" s="374">
        <v>527</v>
      </c>
      <c r="B529" s="375" t="s">
        <v>497</v>
      </c>
      <c r="C529" s="375">
        <v>7551909430</v>
      </c>
      <c r="D529" s="375" t="s">
        <v>245</v>
      </c>
      <c r="E529" s="376">
        <v>45782</v>
      </c>
      <c r="F529" s="377" t="s">
        <v>8</v>
      </c>
      <c r="G529" s="378" t="s">
        <v>8</v>
      </c>
      <c r="H529" s="378"/>
      <c r="I529" s="376">
        <v>45785</v>
      </c>
      <c r="J529" s="376"/>
      <c r="K529" s="379">
        <v>7551909111</v>
      </c>
    </row>
    <row r="530" spans="1:11">
      <c r="A530" s="374">
        <v>528</v>
      </c>
      <c r="B530" s="375" t="s">
        <v>497</v>
      </c>
      <c r="C530" s="375">
        <v>7552241381</v>
      </c>
      <c r="D530" s="375" t="s">
        <v>261</v>
      </c>
      <c r="E530" s="376">
        <v>45782</v>
      </c>
      <c r="F530" s="377" t="s">
        <v>560</v>
      </c>
      <c r="G530" s="378"/>
      <c r="H530" s="378"/>
      <c r="I530" s="376" t="s">
        <v>561</v>
      </c>
      <c r="J530" s="376"/>
      <c r="K530" s="379"/>
    </row>
    <row r="531" spans="1:11">
      <c r="A531" s="374">
        <v>529</v>
      </c>
      <c r="B531" s="375" t="s">
        <v>497</v>
      </c>
      <c r="C531" s="375">
        <v>7552241390</v>
      </c>
      <c r="D531" s="375" t="s">
        <v>257</v>
      </c>
      <c r="E531" s="376">
        <v>45782</v>
      </c>
      <c r="F531" s="377" t="s">
        <v>8</v>
      </c>
      <c r="G531" s="378"/>
      <c r="H531" s="378"/>
      <c r="I531" s="376">
        <v>45755</v>
      </c>
      <c r="J531" s="376">
        <v>45755</v>
      </c>
      <c r="K531" s="379">
        <v>7552264660</v>
      </c>
    </row>
    <row r="532" spans="1:11">
      <c r="A532" s="374">
        <v>530</v>
      </c>
      <c r="B532" s="375" t="s">
        <v>497</v>
      </c>
      <c r="C532" s="375">
        <v>7552264311</v>
      </c>
      <c r="D532" s="375" t="s">
        <v>261</v>
      </c>
      <c r="E532" s="376">
        <v>45782</v>
      </c>
      <c r="F532" s="377" t="s">
        <v>560</v>
      </c>
      <c r="G532" s="378"/>
      <c r="H532" s="378"/>
      <c r="I532" s="376" t="s">
        <v>561</v>
      </c>
      <c r="J532" s="376"/>
      <c r="K532" s="379"/>
    </row>
    <row r="533" spans="1:11">
      <c r="A533" s="374">
        <v>531</v>
      </c>
      <c r="B533" s="375" t="s">
        <v>546</v>
      </c>
      <c r="C533" s="375">
        <v>7552264530</v>
      </c>
      <c r="D533" s="398" t="s">
        <v>512</v>
      </c>
      <c r="E533" s="376">
        <v>45782</v>
      </c>
      <c r="F533" s="378" t="s">
        <v>560</v>
      </c>
      <c r="G533" s="378"/>
      <c r="H533" s="378"/>
      <c r="I533" s="376" t="s">
        <v>561</v>
      </c>
      <c r="J533" s="376"/>
      <c r="K533" s="379"/>
    </row>
    <row r="534" spans="1:11">
      <c r="A534" s="374">
        <v>532</v>
      </c>
      <c r="B534" s="375" t="s">
        <v>486</v>
      </c>
      <c r="C534" s="375">
        <v>7552264670</v>
      </c>
      <c r="D534" s="398" t="s">
        <v>257</v>
      </c>
      <c r="E534" s="376">
        <v>45782</v>
      </c>
      <c r="F534" s="378" t="s">
        <v>476</v>
      </c>
      <c r="G534" s="378"/>
      <c r="H534" s="378"/>
      <c r="I534" s="376">
        <v>45772</v>
      </c>
      <c r="J534" s="376">
        <v>45772</v>
      </c>
      <c r="K534" s="379">
        <v>7552241390</v>
      </c>
    </row>
    <row r="535" spans="1:11">
      <c r="A535" s="374">
        <v>533</v>
      </c>
      <c r="B535" s="375" t="s">
        <v>562</v>
      </c>
      <c r="C535" s="375">
        <v>7552701500</v>
      </c>
      <c r="D535" s="398" t="s">
        <v>248</v>
      </c>
      <c r="E535" s="376">
        <v>45782</v>
      </c>
      <c r="F535" s="378" t="s">
        <v>476</v>
      </c>
      <c r="G535" s="378" t="s">
        <v>8</v>
      </c>
      <c r="H535" s="378"/>
      <c r="I535" s="376">
        <v>45756</v>
      </c>
      <c r="J535" s="376"/>
      <c r="K535" s="379"/>
    </row>
    <row r="536" spans="1:11">
      <c r="A536" s="374">
        <v>534</v>
      </c>
      <c r="B536" s="375" t="s">
        <v>562</v>
      </c>
      <c r="C536" s="375">
        <v>7552701730</v>
      </c>
      <c r="D536" s="398" t="s">
        <v>248</v>
      </c>
      <c r="E536" s="376">
        <v>45782</v>
      </c>
      <c r="F536" s="378" t="s">
        <v>476</v>
      </c>
      <c r="G536" s="378" t="s">
        <v>8</v>
      </c>
      <c r="H536" s="378"/>
      <c r="I536" s="376">
        <v>45756</v>
      </c>
      <c r="J536" s="376"/>
      <c r="K536" s="379"/>
    </row>
    <row r="537" spans="1:11">
      <c r="A537" s="374">
        <v>535</v>
      </c>
      <c r="B537" s="375" t="s">
        <v>562</v>
      </c>
      <c r="C537" s="375">
        <v>8972799783</v>
      </c>
      <c r="D537" s="398" t="s">
        <v>247</v>
      </c>
      <c r="E537" s="376">
        <v>45782</v>
      </c>
      <c r="F537" s="378" t="s">
        <v>476</v>
      </c>
      <c r="G537" s="378" t="s">
        <v>8</v>
      </c>
      <c r="H537" s="378"/>
      <c r="I537" s="376">
        <v>45756</v>
      </c>
      <c r="J537" s="376"/>
      <c r="K537" s="379"/>
    </row>
    <row r="538" spans="1:11">
      <c r="A538" s="374">
        <v>536</v>
      </c>
      <c r="B538" s="375" t="s">
        <v>562</v>
      </c>
      <c r="C538" s="375">
        <v>8972799814</v>
      </c>
      <c r="D538" s="398" t="s">
        <v>247</v>
      </c>
      <c r="E538" s="376">
        <v>45782</v>
      </c>
      <c r="F538" s="378" t="s">
        <v>476</v>
      </c>
      <c r="G538" s="378" t="s">
        <v>8</v>
      </c>
      <c r="H538" s="378"/>
      <c r="I538" s="376">
        <v>45756</v>
      </c>
      <c r="J538" s="376"/>
      <c r="K538" s="379"/>
    </row>
    <row r="539" spans="1:11">
      <c r="A539" s="374">
        <v>537</v>
      </c>
      <c r="B539" s="375" t="s">
        <v>503</v>
      </c>
      <c r="C539" s="375" t="s">
        <v>563</v>
      </c>
      <c r="D539" s="398" t="s">
        <v>564</v>
      </c>
      <c r="E539" s="376">
        <v>45786</v>
      </c>
      <c r="F539" s="378" t="s">
        <v>476</v>
      </c>
      <c r="G539" s="378"/>
      <c r="H539" s="378"/>
      <c r="I539" s="376">
        <v>45749</v>
      </c>
      <c r="J539" s="376"/>
      <c r="K539" s="379">
        <v>8972416562</v>
      </c>
    </row>
    <row r="540" spans="1:11">
      <c r="A540" s="374">
        <v>538</v>
      </c>
      <c r="B540" s="375" t="s">
        <v>503</v>
      </c>
      <c r="C540" s="375" t="s">
        <v>565</v>
      </c>
      <c r="D540" s="398" t="s">
        <v>564</v>
      </c>
      <c r="E540" s="376">
        <v>45786</v>
      </c>
      <c r="F540" s="378" t="s">
        <v>476</v>
      </c>
      <c r="G540" s="378"/>
      <c r="H540" s="378"/>
      <c r="I540" s="376">
        <v>45755</v>
      </c>
      <c r="J540" s="376"/>
      <c r="K540" s="379">
        <v>8972416562</v>
      </c>
    </row>
    <row r="541" spans="1:11">
      <c r="A541" s="374">
        <v>539</v>
      </c>
      <c r="B541" s="375" t="s">
        <v>486</v>
      </c>
      <c r="C541" s="375">
        <v>7552241391</v>
      </c>
      <c r="D541" s="398" t="s">
        <v>261</v>
      </c>
      <c r="E541" s="376">
        <v>45789</v>
      </c>
      <c r="F541" s="378" t="s">
        <v>476</v>
      </c>
      <c r="G541" s="378"/>
      <c r="H541" s="378"/>
      <c r="I541" s="376">
        <v>45772</v>
      </c>
      <c r="J541" s="376">
        <v>45772</v>
      </c>
      <c r="K541" s="379">
        <v>7552241390</v>
      </c>
    </row>
    <row r="542" spans="1:11">
      <c r="A542" s="374">
        <v>540</v>
      </c>
      <c r="B542" s="375" t="s">
        <v>486</v>
      </c>
      <c r="C542" s="375">
        <v>7552701390</v>
      </c>
      <c r="D542" s="398" t="s">
        <v>274</v>
      </c>
      <c r="E542" s="376">
        <v>45789</v>
      </c>
      <c r="F542" s="378" t="s">
        <v>476</v>
      </c>
      <c r="G542" s="378"/>
      <c r="H542" s="378"/>
      <c r="I542" s="376">
        <v>45755</v>
      </c>
      <c r="J542" s="376">
        <v>45755</v>
      </c>
      <c r="K542" s="379">
        <v>7552225510</v>
      </c>
    </row>
    <row r="543" spans="1:11">
      <c r="A543" s="374">
        <v>541</v>
      </c>
      <c r="B543" s="375" t="s">
        <v>486</v>
      </c>
      <c r="C543" s="375">
        <v>7552701620</v>
      </c>
      <c r="D543" s="398" t="s">
        <v>274</v>
      </c>
      <c r="E543" s="376">
        <v>45789</v>
      </c>
      <c r="F543" s="378" t="s">
        <v>476</v>
      </c>
      <c r="G543" s="378"/>
      <c r="H543" s="378"/>
      <c r="I543" s="376">
        <v>45755</v>
      </c>
      <c r="J543" s="376">
        <v>45755</v>
      </c>
      <c r="K543" s="379">
        <v>7552701390</v>
      </c>
    </row>
    <row r="544" spans="1:11">
      <c r="A544" s="374">
        <v>542</v>
      </c>
      <c r="B544" s="375" t="s">
        <v>503</v>
      </c>
      <c r="C544" s="375" t="s">
        <v>566</v>
      </c>
      <c r="D544" s="398" t="s">
        <v>564</v>
      </c>
      <c r="E544" s="376">
        <v>45789</v>
      </c>
      <c r="F544" s="378" t="s">
        <v>476</v>
      </c>
      <c r="G544" s="378"/>
      <c r="H544" s="378"/>
      <c r="I544" s="376">
        <v>45756</v>
      </c>
      <c r="J544" s="376"/>
      <c r="K544" s="379"/>
    </row>
    <row r="545" spans="1:11">
      <c r="A545" s="374">
        <v>543</v>
      </c>
      <c r="B545" s="375" t="s">
        <v>503</v>
      </c>
      <c r="C545" s="375" t="s">
        <v>567</v>
      </c>
      <c r="D545" s="398" t="s">
        <v>564</v>
      </c>
      <c r="E545" s="376">
        <v>45790</v>
      </c>
      <c r="F545" s="378" t="s">
        <v>476</v>
      </c>
      <c r="G545" s="378"/>
      <c r="H545" s="378"/>
      <c r="I545" s="376">
        <v>45756</v>
      </c>
      <c r="J545" s="376"/>
      <c r="K545" s="379"/>
    </row>
    <row r="546" spans="1:11">
      <c r="A546" s="374">
        <v>544</v>
      </c>
      <c r="B546" s="375" t="s">
        <v>503</v>
      </c>
      <c r="C546" s="375" t="s">
        <v>568</v>
      </c>
      <c r="D546" s="398" t="s">
        <v>564</v>
      </c>
      <c r="E546" s="376">
        <v>45790</v>
      </c>
      <c r="F546" s="378" t="s">
        <v>476</v>
      </c>
      <c r="G546" s="378"/>
      <c r="H546" s="378"/>
      <c r="I546" s="376">
        <v>45756</v>
      </c>
      <c r="J546" s="376"/>
      <c r="K546" s="379"/>
    </row>
    <row r="547" spans="1:11">
      <c r="A547" s="374">
        <v>545</v>
      </c>
      <c r="B547" s="375" t="s">
        <v>569</v>
      </c>
      <c r="C547" s="375">
        <v>7552296092</v>
      </c>
      <c r="D547" s="398" t="s">
        <v>283</v>
      </c>
      <c r="E547" s="376">
        <v>45796</v>
      </c>
      <c r="F547" s="378" t="s">
        <v>511</v>
      </c>
      <c r="G547" s="378"/>
      <c r="H547" s="378"/>
      <c r="I547" s="376" t="s">
        <v>561</v>
      </c>
      <c r="J547" s="376"/>
      <c r="K547" s="379"/>
    </row>
    <row r="548" spans="1:11">
      <c r="A548" s="374">
        <v>546</v>
      </c>
      <c r="B548" s="375" t="s">
        <v>569</v>
      </c>
      <c r="C548" s="375">
        <v>7552296122</v>
      </c>
      <c r="D548" s="398" t="s">
        <v>283</v>
      </c>
      <c r="E548" s="376">
        <v>45796</v>
      </c>
      <c r="F548" s="378" t="s">
        <v>511</v>
      </c>
      <c r="G548" s="378"/>
      <c r="H548" s="378"/>
      <c r="I548" s="376" t="s">
        <v>561</v>
      </c>
      <c r="J548" s="376"/>
      <c r="K548" s="379"/>
    </row>
    <row r="549" spans="1:11">
      <c r="A549" s="374">
        <v>547</v>
      </c>
      <c r="B549" s="375" t="s">
        <v>486</v>
      </c>
      <c r="C549" s="375">
        <v>7552312870</v>
      </c>
      <c r="D549" s="398" t="s">
        <v>269</v>
      </c>
      <c r="E549" s="376">
        <v>45796</v>
      </c>
      <c r="F549" s="378" t="s">
        <v>511</v>
      </c>
      <c r="G549" s="378"/>
      <c r="H549" s="378"/>
      <c r="I549" s="376">
        <v>45728</v>
      </c>
      <c r="J549" s="376">
        <v>45728</v>
      </c>
      <c r="K549" s="379">
        <v>7552701710</v>
      </c>
    </row>
    <row r="550" spans="1:11">
      <c r="A550" s="374">
        <v>548</v>
      </c>
      <c r="B550" s="375" t="s">
        <v>562</v>
      </c>
      <c r="C550" s="375">
        <v>7552319623</v>
      </c>
      <c r="D550" s="398" t="s">
        <v>352</v>
      </c>
      <c r="E550" s="376">
        <v>45796</v>
      </c>
      <c r="F550" s="378" t="s">
        <v>511</v>
      </c>
      <c r="G550" s="378"/>
      <c r="H550" s="378"/>
      <c r="I550" s="376" t="s">
        <v>561</v>
      </c>
      <c r="J550" s="376"/>
      <c r="K550" s="379"/>
    </row>
    <row r="551" spans="1:11">
      <c r="A551" s="374">
        <v>549</v>
      </c>
      <c r="B551" s="375" t="s">
        <v>562</v>
      </c>
      <c r="C551" s="375">
        <v>7552319633</v>
      </c>
      <c r="D551" s="398" t="s">
        <v>352</v>
      </c>
      <c r="E551" s="376">
        <v>45796</v>
      </c>
      <c r="F551" s="378" t="s">
        <v>476</v>
      </c>
      <c r="G551" s="378"/>
      <c r="H551" s="378"/>
      <c r="I551" s="376" t="s">
        <v>561</v>
      </c>
      <c r="J551" s="376"/>
      <c r="K551" s="379"/>
    </row>
    <row r="552" spans="1:11">
      <c r="A552" s="374">
        <v>550</v>
      </c>
      <c r="B552" s="375" t="s">
        <v>503</v>
      </c>
      <c r="C552" s="375">
        <v>8976793631</v>
      </c>
      <c r="D552" s="398" t="s">
        <v>12</v>
      </c>
      <c r="E552" s="376">
        <v>45796</v>
      </c>
      <c r="F552" s="378" t="s">
        <v>476</v>
      </c>
      <c r="G552" s="378"/>
      <c r="H552" s="378"/>
      <c r="I552" s="376">
        <v>45757</v>
      </c>
      <c r="J552" s="376">
        <v>45757</v>
      </c>
      <c r="K552" s="379">
        <v>8976793641</v>
      </c>
    </row>
    <row r="553" spans="1:11">
      <c r="A553" s="374">
        <v>551</v>
      </c>
      <c r="B553" s="375" t="s">
        <v>503</v>
      </c>
      <c r="C553" s="375" t="s">
        <v>570</v>
      </c>
      <c r="D553" s="398" t="s">
        <v>564</v>
      </c>
      <c r="E553" s="376">
        <v>45799</v>
      </c>
      <c r="F553" s="378" t="s">
        <v>560</v>
      </c>
      <c r="G553" s="378"/>
      <c r="H553" s="378"/>
      <c r="I553" s="376">
        <v>45799</v>
      </c>
      <c r="J553" s="376">
        <v>45799</v>
      </c>
      <c r="K553" s="379" t="s">
        <v>571</v>
      </c>
    </row>
    <row r="554" spans="1:11">
      <c r="A554" s="374">
        <v>552</v>
      </c>
      <c r="B554" s="375" t="s">
        <v>503</v>
      </c>
      <c r="C554" s="375">
        <v>8975249360</v>
      </c>
      <c r="D554" s="398" t="s">
        <v>6</v>
      </c>
      <c r="E554" s="376">
        <v>45803</v>
      </c>
      <c r="F554" s="378" t="s">
        <v>476</v>
      </c>
      <c r="G554" s="378"/>
      <c r="H554" s="378"/>
      <c r="I554" s="376">
        <v>45786</v>
      </c>
      <c r="J554" s="376">
        <v>45786</v>
      </c>
      <c r="K554" s="379">
        <v>8975249420</v>
      </c>
    </row>
    <row r="555" spans="1:11">
      <c r="A555" s="374">
        <v>553</v>
      </c>
      <c r="B555" s="375" t="s">
        <v>503</v>
      </c>
      <c r="C555" s="375">
        <v>8977917770</v>
      </c>
      <c r="D555" s="398" t="s">
        <v>298</v>
      </c>
      <c r="E555" s="376">
        <v>45803</v>
      </c>
      <c r="F555" s="378" t="s">
        <v>476</v>
      </c>
      <c r="G555" s="378"/>
      <c r="H555" s="378"/>
      <c r="I555" s="376">
        <v>45786</v>
      </c>
      <c r="J555" s="376">
        <v>45786</v>
      </c>
      <c r="K555" s="379">
        <v>8977917300</v>
      </c>
    </row>
    <row r="556" spans="1:11">
      <c r="A556" s="374">
        <v>554</v>
      </c>
      <c r="B556" s="375" t="s">
        <v>486</v>
      </c>
      <c r="C556" s="375">
        <v>8978843353</v>
      </c>
      <c r="D556" s="398" t="s">
        <v>247</v>
      </c>
      <c r="E556" s="376">
        <v>45803</v>
      </c>
      <c r="F556" s="378" t="s">
        <v>511</v>
      </c>
      <c r="G556" s="378"/>
      <c r="H556" s="378"/>
      <c r="I556" s="376">
        <v>45757</v>
      </c>
      <c r="J556" s="376">
        <v>45757</v>
      </c>
      <c r="K556" s="379">
        <v>8978844954</v>
      </c>
    </row>
    <row r="557" spans="1:11">
      <c r="A557" s="374">
        <v>555</v>
      </c>
      <c r="B557" s="375" t="s">
        <v>486</v>
      </c>
      <c r="C557" s="375">
        <v>7551909500</v>
      </c>
      <c r="D557" s="398" t="s">
        <v>245</v>
      </c>
      <c r="E557" s="376">
        <v>45810</v>
      </c>
      <c r="F557" s="378" t="s">
        <v>476</v>
      </c>
      <c r="G557" s="378"/>
      <c r="H557" s="378"/>
      <c r="I557" s="376">
        <v>45757</v>
      </c>
      <c r="J557" s="376">
        <v>45757</v>
      </c>
      <c r="K557" s="379">
        <v>7551909240</v>
      </c>
    </row>
    <row r="558" spans="1:11">
      <c r="A558" s="374">
        <v>556</v>
      </c>
      <c r="B558" s="375" t="s">
        <v>503</v>
      </c>
      <c r="C558" s="375">
        <v>7552282602</v>
      </c>
      <c r="D558" s="398" t="s">
        <v>297</v>
      </c>
      <c r="E558" s="376">
        <v>45810</v>
      </c>
      <c r="F558" s="378" t="s">
        <v>476</v>
      </c>
      <c r="G558" s="378"/>
      <c r="H558" s="378"/>
      <c r="I558" s="376">
        <v>45757</v>
      </c>
      <c r="J558" s="376">
        <v>45763</v>
      </c>
      <c r="K558" s="379">
        <v>7552227682</v>
      </c>
    </row>
    <row r="559" spans="1:11">
      <c r="A559" s="374">
        <v>557</v>
      </c>
      <c r="B559" s="375" t="s">
        <v>503</v>
      </c>
      <c r="C559" s="375">
        <v>7552132041</v>
      </c>
      <c r="D559" s="398" t="s">
        <v>287</v>
      </c>
      <c r="E559" s="376">
        <v>45824</v>
      </c>
      <c r="F559" s="378" t="s">
        <v>476</v>
      </c>
      <c r="G559" s="378"/>
      <c r="H559" s="378"/>
      <c r="I559" s="376">
        <v>45763</v>
      </c>
      <c r="J559" s="376">
        <v>45763</v>
      </c>
      <c r="K559" s="379">
        <v>7552132040</v>
      </c>
    </row>
    <row r="560" spans="1:11">
      <c r="A560" s="374">
        <v>558</v>
      </c>
      <c r="B560" s="375" t="s">
        <v>503</v>
      </c>
      <c r="C560" s="375">
        <v>7552132051</v>
      </c>
      <c r="D560" s="398" t="s">
        <v>287</v>
      </c>
      <c r="E560" s="376">
        <v>45824</v>
      </c>
      <c r="F560" s="378" t="s">
        <v>476</v>
      </c>
      <c r="G560" s="378"/>
      <c r="H560" s="378"/>
      <c r="I560" s="376">
        <v>45792</v>
      </c>
      <c r="J560" s="376">
        <v>45792</v>
      </c>
      <c r="K560" s="379">
        <v>7552132041</v>
      </c>
    </row>
    <row r="561" spans="1:11">
      <c r="A561" s="374">
        <v>559</v>
      </c>
      <c r="B561" s="375" t="s">
        <v>503</v>
      </c>
      <c r="C561" s="375">
        <v>7552164942</v>
      </c>
      <c r="D561" s="398" t="s">
        <v>297</v>
      </c>
      <c r="E561" s="376">
        <v>45824</v>
      </c>
      <c r="F561" s="378" t="s">
        <v>476</v>
      </c>
      <c r="G561" s="378"/>
      <c r="H561" s="378"/>
      <c r="I561" s="376">
        <v>45773</v>
      </c>
      <c r="J561" s="376">
        <v>45773</v>
      </c>
      <c r="K561" s="379">
        <v>7552164941</v>
      </c>
    </row>
    <row r="562" spans="1:11">
      <c r="A562" s="374">
        <v>560</v>
      </c>
      <c r="B562" s="375" t="s">
        <v>486</v>
      </c>
      <c r="C562" s="375">
        <v>7552264671</v>
      </c>
      <c r="D562" s="398" t="s">
        <v>261</v>
      </c>
      <c r="E562" s="376">
        <v>45824</v>
      </c>
      <c r="F562" s="378" t="s">
        <v>476</v>
      </c>
      <c r="G562" s="378"/>
      <c r="H562" s="378"/>
      <c r="I562" s="376">
        <v>45786</v>
      </c>
      <c r="J562" s="376">
        <v>45786</v>
      </c>
      <c r="K562" s="379">
        <v>7552264670</v>
      </c>
    </row>
    <row r="563" spans="1:11">
      <c r="A563" s="374">
        <v>561</v>
      </c>
      <c r="B563" s="375" t="s">
        <v>503</v>
      </c>
      <c r="C563" s="375">
        <v>7552418211</v>
      </c>
      <c r="D563" s="398" t="s">
        <v>287</v>
      </c>
      <c r="E563" s="376">
        <v>45824</v>
      </c>
      <c r="F563" s="378" t="s">
        <v>476</v>
      </c>
      <c r="G563" s="378"/>
      <c r="H563" s="378"/>
      <c r="I563" s="376">
        <v>45792</v>
      </c>
      <c r="J563" s="376">
        <v>45792</v>
      </c>
      <c r="K563" s="379">
        <v>7552166212</v>
      </c>
    </row>
    <row r="564" spans="1:11">
      <c r="A564" s="374">
        <v>562</v>
      </c>
      <c r="B564" s="375" t="s">
        <v>486</v>
      </c>
      <c r="C564" s="375">
        <v>7552701720</v>
      </c>
      <c r="D564" s="398" t="s">
        <v>259</v>
      </c>
      <c r="E564" s="376">
        <v>45824</v>
      </c>
      <c r="F564" s="378" t="s">
        <v>476</v>
      </c>
      <c r="G564" s="378"/>
      <c r="H564" s="378"/>
      <c r="I564" s="376">
        <v>45786</v>
      </c>
      <c r="J564" s="376">
        <v>45786</v>
      </c>
      <c r="K564" s="379">
        <v>7552701840</v>
      </c>
    </row>
    <row r="565" spans="1:11">
      <c r="A565" s="374">
        <v>563</v>
      </c>
      <c r="B565" s="375" t="s">
        <v>562</v>
      </c>
      <c r="C565" s="375">
        <v>7552702980</v>
      </c>
      <c r="D565" s="398" t="s">
        <v>247</v>
      </c>
      <c r="E565" s="376">
        <v>45824</v>
      </c>
      <c r="F565" s="378" t="s">
        <v>476</v>
      </c>
      <c r="G565" s="378"/>
      <c r="H565" s="378"/>
      <c r="I565" s="376" t="s">
        <v>561</v>
      </c>
      <c r="J565" s="376"/>
      <c r="K565" s="379"/>
    </row>
    <row r="566" spans="1:11">
      <c r="A566" s="374">
        <v>564</v>
      </c>
      <c r="B566" s="375" t="s">
        <v>562</v>
      </c>
      <c r="C566" s="375">
        <v>7552703020</v>
      </c>
      <c r="D566" s="398" t="s">
        <v>9</v>
      </c>
      <c r="E566" s="376">
        <v>45824</v>
      </c>
      <c r="F566" s="378" t="s">
        <v>476</v>
      </c>
      <c r="G566" s="378"/>
      <c r="H566" s="378"/>
      <c r="I566" s="376" t="s">
        <v>561</v>
      </c>
      <c r="J566" s="376"/>
      <c r="K566" s="379"/>
    </row>
    <row r="567" spans="1:11">
      <c r="A567" s="374">
        <v>565</v>
      </c>
      <c r="B567" s="375" t="s">
        <v>562</v>
      </c>
      <c r="C567" s="375">
        <v>7552715040</v>
      </c>
      <c r="D567" s="398" t="s">
        <v>9</v>
      </c>
      <c r="E567" s="376">
        <v>45824</v>
      </c>
      <c r="F567" s="378" t="s">
        <v>476</v>
      </c>
      <c r="G567" s="378"/>
      <c r="H567" s="378"/>
      <c r="I567" s="376" t="s">
        <v>561</v>
      </c>
      <c r="J567" s="376"/>
      <c r="K567" s="379"/>
    </row>
    <row r="568" spans="1:11">
      <c r="A568" s="374">
        <v>566</v>
      </c>
      <c r="B568" s="375" t="s">
        <v>562</v>
      </c>
      <c r="C568" s="375">
        <v>7552715090</v>
      </c>
      <c r="D568" s="398" t="s">
        <v>9</v>
      </c>
      <c r="E568" s="376">
        <v>45824</v>
      </c>
      <c r="F568" s="378" t="s">
        <v>476</v>
      </c>
      <c r="G568" s="378"/>
      <c r="H568" s="378"/>
      <c r="I568" s="376" t="s">
        <v>561</v>
      </c>
      <c r="J568" s="376"/>
      <c r="K568" s="379"/>
    </row>
    <row r="569" spans="1:11">
      <c r="A569" s="374">
        <v>567</v>
      </c>
      <c r="B569" s="375" t="s">
        <v>562</v>
      </c>
      <c r="C569" s="375">
        <v>7552715100</v>
      </c>
      <c r="D569" s="398" t="s">
        <v>9</v>
      </c>
      <c r="E569" s="376">
        <v>45824</v>
      </c>
      <c r="F569" s="378" t="s">
        <v>476</v>
      </c>
      <c r="G569" s="378"/>
      <c r="H569" s="378"/>
      <c r="I569" s="376" t="s">
        <v>561</v>
      </c>
      <c r="J569" s="376"/>
      <c r="K569" s="379"/>
    </row>
    <row r="570" spans="1:11">
      <c r="A570" s="374">
        <v>568</v>
      </c>
      <c r="B570" s="375" t="s">
        <v>562</v>
      </c>
      <c r="C570" s="375">
        <v>7552735780</v>
      </c>
      <c r="D570" s="398" t="s">
        <v>237</v>
      </c>
      <c r="E570" s="376">
        <v>45824</v>
      </c>
      <c r="F570" s="378" t="s">
        <v>476</v>
      </c>
      <c r="G570" s="378"/>
      <c r="H570" s="378"/>
      <c r="I570" s="376" t="s">
        <v>561</v>
      </c>
      <c r="J570" s="376"/>
      <c r="K570" s="379"/>
    </row>
    <row r="571" spans="1:11">
      <c r="A571" s="374">
        <v>569</v>
      </c>
      <c r="B571" s="375" t="s">
        <v>562</v>
      </c>
      <c r="C571" s="375">
        <v>8975249561</v>
      </c>
      <c r="D571" s="398" t="s">
        <v>12</v>
      </c>
      <c r="E571" s="376">
        <v>45824</v>
      </c>
      <c r="F571" s="378" t="s">
        <v>476</v>
      </c>
      <c r="G571" s="378"/>
      <c r="H571" s="378"/>
      <c r="I571" s="376" t="s">
        <v>561</v>
      </c>
      <c r="J571" s="376"/>
      <c r="K571" s="379"/>
    </row>
    <row r="572" spans="1:11">
      <c r="A572" s="374">
        <v>570</v>
      </c>
      <c r="B572" s="375" t="s">
        <v>503</v>
      </c>
      <c r="C572" s="375">
        <v>8977917340</v>
      </c>
      <c r="D572" s="398" t="s">
        <v>298</v>
      </c>
      <c r="E572" s="376">
        <v>45824</v>
      </c>
      <c r="F572" s="378" t="s">
        <v>476</v>
      </c>
      <c r="G572" s="378"/>
      <c r="H572" s="378"/>
      <c r="I572" s="376">
        <v>45799</v>
      </c>
      <c r="J572" s="376">
        <v>45799</v>
      </c>
      <c r="K572" s="379">
        <v>8977917300</v>
      </c>
    </row>
    <row r="573" spans="1:11">
      <c r="A573" s="374">
        <v>571</v>
      </c>
      <c r="B573" s="375" t="s">
        <v>503</v>
      </c>
      <c r="C573" s="375">
        <v>8977917380</v>
      </c>
      <c r="D573" s="398" t="s">
        <v>298</v>
      </c>
      <c r="E573" s="376">
        <v>45824</v>
      </c>
      <c r="F573" s="378" t="s">
        <v>476</v>
      </c>
      <c r="G573" s="378"/>
      <c r="H573" s="378"/>
      <c r="I573" s="376">
        <v>45799</v>
      </c>
      <c r="J573" s="376">
        <v>45799</v>
      </c>
      <c r="K573" s="379">
        <v>8977917400</v>
      </c>
    </row>
    <row r="574" spans="1:11">
      <c r="A574" s="374">
        <v>572</v>
      </c>
      <c r="B574" s="375" t="s">
        <v>503</v>
      </c>
      <c r="C574" s="375">
        <v>8978836711</v>
      </c>
      <c r="D574" s="398" t="s">
        <v>287</v>
      </c>
      <c r="E574" s="376">
        <v>45824</v>
      </c>
      <c r="F574" s="378" t="s">
        <v>476</v>
      </c>
      <c r="G574" s="378"/>
      <c r="H574" s="378"/>
      <c r="I574" s="376">
        <v>45792</v>
      </c>
      <c r="J574" s="376">
        <v>45792</v>
      </c>
      <c r="K574" s="379">
        <v>8978836721</v>
      </c>
    </row>
    <row r="575" spans="1:11">
      <c r="A575" s="374">
        <v>573</v>
      </c>
      <c r="B575" s="375" t="s">
        <v>486</v>
      </c>
      <c r="C575" s="375">
        <v>7552078770</v>
      </c>
      <c r="D575" s="398" t="s">
        <v>276</v>
      </c>
      <c r="E575" s="376">
        <v>45831</v>
      </c>
      <c r="F575" s="378" t="s">
        <v>476</v>
      </c>
      <c r="G575" s="378"/>
      <c r="H575" s="378"/>
      <c r="I575" s="376">
        <v>45763</v>
      </c>
      <c r="J575" s="376">
        <v>45763</v>
      </c>
      <c r="K575" s="379">
        <v>7552078760</v>
      </c>
    </row>
    <row r="576" spans="1:11">
      <c r="A576" s="374">
        <v>574</v>
      </c>
      <c r="B576" s="375" t="s">
        <v>503</v>
      </c>
      <c r="C576" s="375">
        <v>7552164952</v>
      </c>
      <c r="D576" s="398" t="s">
        <v>297</v>
      </c>
      <c r="E576" s="376">
        <v>45831</v>
      </c>
      <c r="F576" s="378" t="s">
        <v>476</v>
      </c>
      <c r="G576" s="378"/>
      <c r="H576" s="378"/>
      <c r="I576" s="376">
        <v>45799</v>
      </c>
      <c r="J576" s="376">
        <v>45799</v>
      </c>
      <c r="K576" s="379">
        <v>7552164942</v>
      </c>
    </row>
    <row r="577" spans="1:11">
      <c r="A577" s="374">
        <v>575</v>
      </c>
      <c r="B577" s="375" t="s">
        <v>503</v>
      </c>
      <c r="C577" s="375">
        <v>7552165141</v>
      </c>
      <c r="D577" s="398" t="s">
        <v>287</v>
      </c>
      <c r="E577" s="376">
        <v>45831</v>
      </c>
      <c r="F577" s="378" t="s">
        <v>476</v>
      </c>
      <c r="G577" s="378"/>
      <c r="H577" s="378"/>
      <c r="I577" s="376">
        <v>45799</v>
      </c>
      <c r="J577" s="376">
        <v>45799</v>
      </c>
      <c r="K577" s="379">
        <v>7552165121</v>
      </c>
    </row>
    <row r="578" spans="1:11">
      <c r="A578" s="374">
        <v>576</v>
      </c>
      <c r="B578" s="375" t="s">
        <v>503</v>
      </c>
      <c r="C578" s="375">
        <v>7552165602</v>
      </c>
      <c r="D578" s="398" t="s">
        <v>297</v>
      </c>
      <c r="E578" s="376">
        <v>45831</v>
      </c>
      <c r="F578" s="378" t="s">
        <v>476</v>
      </c>
      <c r="G578" s="378"/>
      <c r="H578" s="378"/>
      <c r="I578" s="376">
        <v>45763</v>
      </c>
      <c r="J578" s="376">
        <v>45763</v>
      </c>
      <c r="K578" s="379">
        <v>7552138882</v>
      </c>
    </row>
    <row r="579" spans="1:11">
      <c r="A579" s="374">
        <v>577</v>
      </c>
      <c r="B579" s="375" t="s">
        <v>503</v>
      </c>
      <c r="C579" s="375">
        <v>7552165732</v>
      </c>
      <c r="D579" s="398" t="s">
        <v>297</v>
      </c>
      <c r="E579" s="376">
        <v>45831</v>
      </c>
      <c r="F579" s="378" t="s">
        <v>476</v>
      </c>
      <c r="G579" s="378"/>
      <c r="H579" s="378"/>
      <c r="I579" s="376">
        <v>45763</v>
      </c>
      <c r="J579" s="376">
        <v>45763</v>
      </c>
      <c r="K579" s="379">
        <v>7552165742</v>
      </c>
    </row>
    <row r="580" spans="1:11">
      <c r="A580" s="374">
        <v>578</v>
      </c>
      <c r="B580" s="375" t="s">
        <v>486</v>
      </c>
      <c r="C580" s="375">
        <v>7552241382</v>
      </c>
      <c r="D580" s="398" t="s">
        <v>261</v>
      </c>
      <c r="E580" s="376">
        <v>45831</v>
      </c>
      <c r="F580" s="378" t="s">
        <v>476</v>
      </c>
      <c r="G580" s="378"/>
      <c r="H580" s="378"/>
      <c r="I580" s="376">
        <v>45799</v>
      </c>
      <c r="J580" s="376">
        <v>45799</v>
      </c>
      <c r="K580" s="379">
        <v>7552241391</v>
      </c>
    </row>
    <row r="581" spans="1:11">
      <c r="A581" s="374">
        <v>579</v>
      </c>
      <c r="B581" s="375" t="s">
        <v>503</v>
      </c>
      <c r="C581" s="375">
        <v>7552418151</v>
      </c>
      <c r="D581" s="398" t="s">
        <v>287</v>
      </c>
      <c r="E581" s="376">
        <v>45831</v>
      </c>
      <c r="F581" s="378" t="s">
        <v>476</v>
      </c>
      <c r="G581" s="378"/>
      <c r="H581" s="378"/>
      <c r="I581" s="376">
        <v>45763</v>
      </c>
      <c r="J581" s="376">
        <v>45763</v>
      </c>
      <c r="K581" s="379">
        <v>7552418181</v>
      </c>
    </row>
    <row r="582" spans="1:11">
      <c r="A582" s="374">
        <v>580</v>
      </c>
      <c r="B582" s="375" t="s">
        <v>486</v>
      </c>
      <c r="C582" s="375">
        <v>7552701450</v>
      </c>
      <c r="D582" s="398" t="s">
        <v>259</v>
      </c>
      <c r="E582" s="376">
        <v>45831</v>
      </c>
      <c r="F582" s="378" t="s">
        <v>476</v>
      </c>
      <c r="G582" s="378"/>
      <c r="H582" s="378"/>
      <c r="I582" s="376">
        <v>45799</v>
      </c>
      <c r="J582" s="376">
        <v>45799</v>
      </c>
      <c r="K582" s="379">
        <v>7552701710</v>
      </c>
    </row>
    <row r="583" spans="1:11">
      <c r="A583" s="374">
        <v>581</v>
      </c>
      <c r="B583" s="375" t="s">
        <v>486</v>
      </c>
      <c r="C583" s="375">
        <v>7552701550</v>
      </c>
      <c r="D583" s="398" t="s">
        <v>259</v>
      </c>
      <c r="E583" s="376">
        <v>45831</v>
      </c>
      <c r="F583" s="378" t="s">
        <v>476</v>
      </c>
      <c r="G583" s="378"/>
      <c r="H583" s="378"/>
      <c r="I583" s="376">
        <v>45799</v>
      </c>
      <c r="J583" s="376">
        <v>45799</v>
      </c>
      <c r="K583" s="379">
        <v>7552701820</v>
      </c>
    </row>
    <row r="584" spans="1:11">
      <c r="A584" s="374">
        <v>582</v>
      </c>
      <c r="B584" s="375" t="s">
        <v>486</v>
      </c>
      <c r="C584" s="375">
        <v>7552701660</v>
      </c>
      <c r="D584" s="398" t="s">
        <v>259</v>
      </c>
      <c r="E584" s="376">
        <v>45831</v>
      </c>
      <c r="F584" s="378" t="s">
        <v>476</v>
      </c>
      <c r="G584" s="378"/>
      <c r="H584" s="378"/>
      <c r="I584" s="376">
        <v>45799</v>
      </c>
      <c r="J584" s="376">
        <v>45799</v>
      </c>
      <c r="K584" s="379">
        <v>7552701710</v>
      </c>
    </row>
    <row r="585" spans="1:11">
      <c r="A585" s="374">
        <v>583</v>
      </c>
      <c r="B585" s="375" t="s">
        <v>486</v>
      </c>
      <c r="C585" s="375">
        <v>7552701740</v>
      </c>
      <c r="D585" s="398" t="s">
        <v>259</v>
      </c>
      <c r="E585" s="376">
        <v>45831</v>
      </c>
      <c r="F585" s="378" t="s">
        <v>476</v>
      </c>
      <c r="G585" s="378"/>
      <c r="H585" s="378"/>
      <c r="I585" s="376">
        <v>45763</v>
      </c>
      <c r="J585" s="376">
        <v>45763</v>
      </c>
      <c r="K585" s="379">
        <v>7552701710</v>
      </c>
    </row>
    <row r="586" spans="1:11">
      <c r="A586" s="374">
        <v>584</v>
      </c>
      <c r="B586" s="375" t="s">
        <v>486</v>
      </c>
      <c r="C586" s="375">
        <v>7552701810</v>
      </c>
      <c r="D586" s="398" t="s">
        <v>259</v>
      </c>
      <c r="E586" s="376">
        <v>45831</v>
      </c>
      <c r="F586" s="378" t="s">
        <v>476</v>
      </c>
      <c r="G586" s="378"/>
      <c r="H586" s="378"/>
      <c r="I586" s="376">
        <v>45799</v>
      </c>
      <c r="J586" s="376">
        <v>45799</v>
      </c>
      <c r="K586" s="379">
        <v>7552701820</v>
      </c>
    </row>
    <row r="587" spans="1:11">
      <c r="A587" s="374">
        <v>585</v>
      </c>
      <c r="B587" s="375" t="s">
        <v>486</v>
      </c>
      <c r="C587" s="375">
        <v>7552701820</v>
      </c>
      <c r="D587" s="398" t="s">
        <v>259</v>
      </c>
      <c r="E587" s="376">
        <v>45831</v>
      </c>
      <c r="F587" s="378" t="s">
        <v>476</v>
      </c>
      <c r="G587" s="378"/>
      <c r="H587" s="378"/>
      <c r="I587" s="376">
        <v>45763</v>
      </c>
      <c r="J587" s="376">
        <v>45763</v>
      </c>
      <c r="K587" s="379">
        <v>7552701710</v>
      </c>
    </row>
    <row r="588" spans="1:11">
      <c r="A588" s="374">
        <v>586</v>
      </c>
      <c r="B588" s="375" t="s">
        <v>486</v>
      </c>
      <c r="C588" s="375">
        <v>7552701840</v>
      </c>
      <c r="D588" s="398" t="s">
        <v>259</v>
      </c>
      <c r="E588" s="376">
        <v>45831</v>
      </c>
      <c r="F588" s="378" t="s">
        <v>476</v>
      </c>
      <c r="G588" s="378"/>
      <c r="H588" s="378"/>
      <c r="I588" s="376">
        <v>45763</v>
      </c>
      <c r="J588" s="376">
        <v>45763</v>
      </c>
      <c r="K588" s="379">
        <v>7552701710</v>
      </c>
    </row>
    <row r="589" spans="1:11">
      <c r="A589" s="374">
        <v>587</v>
      </c>
      <c r="B589" s="375" t="s">
        <v>562</v>
      </c>
      <c r="C589" s="375">
        <v>7552702990</v>
      </c>
      <c r="D589" s="398" t="s">
        <v>247</v>
      </c>
      <c r="E589" s="376">
        <v>45831</v>
      </c>
      <c r="F589" s="378" t="s">
        <v>476</v>
      </c>
      <c r="G589" s="378"/>
      <c r="H589" s="378"/>
      <c r="I589" s="376" t="s">
        <v>561</v>
      </c>
      <c r="J589" s="376"/>
      <c r="K589" s="379"/>
    </row>
    <row r="590" spans="1:11">
      <c r="A590" s="374">
        <v>588</v>
      </c>
      <c r="B590" s="375" t="s">
        <v>486</v>
      </c>
      <c r="C590" s="375">
        <v>7552703300</v>
      </c>
      <c r="D590" s="398" t="s">
        <v>326</v>
      </c>
      <c r="E590" s="376">
        <v>45831</v>
      </c>
      <c r="F590" s="378" t="s">
        <v>476</v>
      </c>
      <c r="G590" s="378"/>
      <c r="H590" s="378"/>
      <c r="I590" s="376">
        <v>45763</v>
      </c>
      <c r="J590" s="376">
        <v>45763</v>
      </c>
      <c r="K590" s="379">
        <v>7552701820</v>
      </c>
    </row>
    <row r="591" spans="1:11">
      <c r="A591" s="374">
        <v>589</v>
      </c>
      <c r="B591" s="375" t="s">
        <v>486</v>
      </c>
      <c r="C591" s="375">
        <v>7552703330</v>
      </c>
      <c r="D591" s="398" t="s">
        <v>326</v>
      </c>
      <c r="E591" s="376">
        <v>45831</v>
      </c>
      <c r="F591" s="378" t="s">
        <v>476</v>
      </c>
      <c r="G591" s="378"/>
      <c r="H591" s="378"/>
      <c r="I591" s="376">
        <v>45799</v>
      </c>
      <c r="J591" s="376">
        <v>45799</v>
      </c>
      <c r="K591" s="379">
        <v>7552701840</v>
      </c>
    </row>
    <row r="592" spans="1:11">
      <c r="A592" s="374">
        <v>590</v>
      </c>
      <c r="B592" s="375" t="s">
        <v>562</v>
      </c>
      <c r="C592" s="375">
        <v>7552735790</v>
      </c>
      <c r="D592" s="398" t="s">
        <v>237</v>
      </c>
      <c r="E592" s="376">
        <v>45831</v>
      </c>
      <c r="F592" s="378" t="s">
        <v>476</v>
      </c>
      <c r="G592" s="378"/>
      <c r="H592" s="378"/>
      <c r="I592" s="376" t="s">
        <v>561</v>
      </c>
      <c r="J592" s="376"/>
      <c r="K592" s="379"/>
    </row>
    <row r="593" spans="1:11">
      <c r="A593" s="374">
        <v>591</v>
      </c>
      <c r="B593" s="375" t="s">
        <v>503</v>
      </c>
      <c r="C593" s="375">
        <v>8976793910</v>
      </c>
      <c r="D593" s="398" t="s">
        <v>289</v>
      </c>
      <c r="E593" s="376">
        <v>45838</v>
      </c>
      <c r="F593" s="378" t="s">
        <v>476</v>
      </c>
      <c r="G593" s="378"/>
      <c r="H593" s="378"/>
      <c r="I593" s="376">
        <v>45806</v>
      </c>
      <c r="J593" s="376">
        <v>45806</v>
      </c>
      <c r="K593" s="379">
        <v>8976682940</v>
      </c>
    </row>
    <row r="594" spans="1:11">
      <c r="A594" s="374">
        <v>592</v>
      </c>
      <c r="B594" s="375" t="s">
        <v>503</v>
      </c>
      <c r="C594" s="375" t="s">
        <v>572</v>
      </c>
      <c r="D594" s="398" t="s">
        <v>80</v>
      </c>
      <c r="E594" s="376">
        <v>45849</v>
      </c>
      <c r="F594" s="378" t="s">
        <v>476</v>
      </c>
      <c r="G594" s="378"/>
      <c r="H594" s="378"/>
      <c r="I594" s="376">
        <v>45827</v>
      </c>
      <c r="J594" s="376">
        <v>45827</v>
      </c>
      <c r="K594" s="379">
        <v>7552165602</v>
      </c>
    </row>
    <row r="595" spans="1:11">
      <c r="A595" s="374">
        <v>593</v>
      </c>
      <c r="B595" s="375" t="s">
        <v>503</v>
      </c>
      <c r="C595" s="375" t="s">
        <v>573</v>
      </c>
      <c r="D595" s="398" t="s">
        <v>80</v>
      </c>
      <c r="E595" s="376">
        <v>45849</v>
      </c>
      <c r="F595" s="378" t="s">
        <v>476</v>
      </c>
      <c r="G595" s="378"/>
      <c r="H595" s="378"/>
      <c r="I595" s="376">
        <v>45833</v>
      </c>
      <c r="J595" s="376" t="s">
        <v>574</v>
      </c>
      <c r="K595" s="379">
        <v>7552165502</v>
      </c>
    </row>
    <row r="596" spans="1:11">
      <c r="A596" s="374">
        <v>594</v>
      </c>
      <c r="B596" s="375" t="s">
        <v>486</v>
      </c>
      <c r="C596" s="375">
        <v>7551946441</v>
      </c>
      <c r="D596" s="398" t="s">
        <v>247</v>
      </c>
      <c r="E596" s="376">
        <v>45852</v>
      </c>
      <c r="F596" s="378" t="s">
        <v>476</v>
      </c>
      <c r="G596" s="378"/>
      <c r="H596" s="378"/>
      <c r="I596" s="376">
        <v>45811</v>
      </c>
      <c r="J596" s="376">
        <v>45811</v>
      </c>
      <c r="K596" s="379">
        <v>7551945991</v>
      </c>
    </row>
    <row r="597" spans="1:11">
      <c r="A597" s="374">
        <v>595</v>
      </c>
      <c r="B597" s="375" t="s">
        <v>486</v>
      </c>
      <c r="C597" s="375">
        <v>7551946451</v>
      </c>
      <c r="D597" s="398" t="s">
        <v>247</v>
      </c>
      <c r="E597" s="376">
        <v>45852</v>
      </c>
      <c r="F597" s="378" t="s">
        <v>476</v>
      </c>
      <c r="G597" s="378"/>
      <c r="H597" s="378"/>
      <c r="I597" s="376">
        <v>45799</v>
      </c>
      <c r="J597" s="376">
        <v>45799</v>
      </c>
      <c r="K597" s="379">
        <v>7551946001</v>
      </c>
    </row>
    <row r="598" spans="1:11">
      <c r="A598" s="374">
        <v>596</v>
      </c>
      <c r="B598" s="375" t="s">
        <v>486</v>
      </c>
      <c r="C598" s="375">
        <v>7552127022</v>
      </c>
      <c r="D598" s="398" t="s">
        <v>257</v>
      </c>
      <c r="E598" s="376">
        <v>45852</v>
      </c>
      <c r="F598" s="378" t="s">
        <v>476</v>
      </c>
      <c r="G598" s="378"/>
      <c r="H598" s="378"/>
      <c r="I598" s="376">
        <v>45811</v>
      </c>
      <c r="J598" s="376">
        <v>45811</v>
      </c>
      <c r="K598" s="379">
        <v>7552127012</v>
      </c>
    </row>
    <row r="599" spans="1:11">
      <c r="A599" s="374">
        <v>597</v>
      </c>
      <c r="B599" s="375" t="s">
        <v>486</v>
      </c>
      <c r="C599" s="375">
        <v>7552127063</v>
      </c>
      <c r="D599" s="398" t="s">
        <v>257</v>
      </c>
      <c r="E599" s="376">
        <v>45852</v>
      </c>
      <c r="F599" s="378" t="s">
        <v>476</v>
      </c>
      <c r="G599" s="378"/>
      <c r="H599" s="378"/>
      <c r="I599" s="376">
        <v>45811</v>
      </c>
      <c r="J599" s="376">
        <v>45811</v>
      </c>
      <c r="K599" s="379">
        <v>7552127053</v>
      </c>
    </row>
    <row r="600" spans="1:11">
      <c r="A600" s="374">
        <v>598</v>
      </c>
      <c r="B600" s="375" t="s">
        <v>486</v>
      </c>
      <c r="C600" s="375">
        <v>7552222851</v>
      </c>
      <c r="D600" s="398" t="s">
        <v>245</v>
      </c>
      <c r="E600" s="376">
        <v>45852</v>
      </c>
      <c r="F600" s="378" t="s">
        <v>476</v>
      </c>
      <c r="G600" s="378"/>
      <c r="H600" s="378"/>
      <c r="I600" s="376">
        <v>45811</v>
      </c>
      <c r="J600" s="376">
        <v>45811</v>
      </c>
      <c r="K600" s="379">
        <v>7552222861</v>
      </c>
    </row>
    <row r="601" spans="1:11">
      <c r="A601" s="374">
        <v>599</v>
      </c>
      <c r="B601" s="375" t="s">
        <v>503</v>
      </c>
      <c r="C601" s="375">
        <v>8975249390</v>
      </c>
      <c r="D601" s="398" t="s">
        <v>6</v>
      </c>
      <c r="E601" s="376">
        <v>45852</v>
      </c>
      <c r="F601" s="378" t="s">
        <v>476</v>
      </c>
      <c r="G601" s="378"/>
      <c r="H601" s="378"/>
      <c r="I601" s="376">
        <v>45763</v>
      </c>
      <c r="J601" s="376">
        <v>45763</v>
      </c>
      <c r="K601" s="379">
        <v>8975249670</v>
      </c>
    </row>
    <row r="602" spans="1:11">
      <c r="A602" s="374">
        <v>600</v>
      </c>
      <c r="B602" s="375" t="s">
        <v>503</v>
      </c>
      <c r="C602" s="375">
        <v>7552418221</v>
      </c>
      <c r="D602" s="398" t="s">
        <v>287</v>
      </c>
      <c r="E602" s="376">
        <v>45859</v>
      </c>
      <c r="F602" s="378" t="s">
        <v>476</v>
      </c>
      <c r="G602" s="378"/>
      <c r="H602" s="378"/>
      <c r="I602" s="376">
        <v>45840</v>
      </c>
      <c r="J602" s="376">
        <v>45840</v>
      </c>
      <c r="K602" s="379">
        <v>7552418211</v>
      </c>
    </row>
    <row r="603" spans="1:11">
      <c r="A603" s="374">
        <v>601</v>
      </c>
      <c r="B603" s="375" t="s">
        <v>486</v>
      </c>
      <c r="C603" s="375">
        <v>7552702080</v>
      </c>
      <c r="D603" s="398" t="s">
        <v>326</v>
      </c>
      <c r="E603" s="376">
        <v>45859</v>
      </c>
      <c r="F603" s="378" t="s">
        <v>476</v>
      </c>
      <c r="G603" s="378"/>
      <c r="H603" s="378"/>
      <c r="I603" s="376">
        <v>45811</v>
      </c>
      <c r="J603" s="376">
        <v>45811</v>
      </c>
      <c r="K603" s="379">
        <v>7552703300</v>
      </c>
    </row>
    <row r="604" spans="1:11">
      <c r="A604" s="374">
        <v>602</v>
      </c>
      <c r="B604" s="375" t="s">
        <v>503</v>
      </c>
      <c r="C604" s="375">
        <v>8976793401</v>
      </c>
      <c r="D604" s="398" t="s">
        <v>12</v>
      </c>
      <c r="E604" s="376">
        <v>45859</v>
      </c>
      <c r="F604" s="378" t="s">
        <v>476</v>
      </c>
      <c r="G604" s="378"/>
      <c r="H604" s="378"/>
      <c r="I604" s="376">
        <v>45811</v>
      </c>
      <c r="J604" s="376">
        <v>45811</v>
      </c>
      <c r="K604" s="379">
        <v>8976793470</v>
      </c>
    </row>
    <row r="605" spans="1:11">
      <c r="A605" s="374">
        <v>603</v>
      </c>
      <c r="B605" s="375" t="s">
        <v>486</v>
      </c>
      <c r="C605" s="375">
        <v>7551945721</v>
      </c>
      <c r="D605" s="398" t="s">
        <v>247</v>
      </c>
      <c r="E605" s="376">
        <v>45866</v>
      </c>
      <c r="F605" s="378" t="s">
        <v>476</v>
      </c>
      <c r="G605" s="378"/>
      <c r="H605" s="378"/>
      <c r="I605" s="376">
        <v>45811</v>
      </c>
      <c r="J605" s="376">
        <v>45811</v>
      </c>
      <c r="K605" s="379">
        <v>7551909711</v>
      </c>
    </row>
    <row r="606" spans="1:11">
      <c r="A606" s="374">
        <v>604</v>
      </c>
      <c r="B606" s="375" t="s">
        <v>486</v>
      </c>
      <c r="C606" s="375">
        <v>7552127153</v>
      </c>
      <c r="D606" s="398" t="s">
        <v>257</v>
      </c>
      <c r="E606" s="376">
        <v>45866</v>
      </c>
      <c r="F606" s="378" t="s">
        <v>476</v>
      </c>
      <c r="G606" s="378"/>
      <c r="H606" s="378"/>
      <c r="I606" s="376">
        <v>45826</v>
      </c>
      <c r="J606" s="376">
        <v>45826</v>
      </c>
      <c r="K606" s="379">
        <v>7552127160</v>
      </c>
    </row>
    <row r="607" spans="1:11">
      <c r="A607" s="374">
        <v>605</v>
      </c>
      <c r="B607" s="375" t="s">
        <v>486</v>
      </c>
      <c r="C607" s="375">
        <v>7552127212</v>
      </c>
      <c r="D607" s="398" t="s">
        <v>257</v>
      </c>
      <c r="E607" s="376">
        <v>45866</v>
      </c>
      <c r="F607" s="378" t="s">
        <v>476</v>
      </c>
      <c r="G607" s="378"/>
      <c r="H607" s="378"/>
      <c r="I607" s="376">
        <v>45845</v>
      </c>
      <c r="J607" s="376">
        <v>45845</v>
      </c>
      <c r="K607" s="379">
        <v>7552264671</v>
      </c>
    </row>
    <row r="608" spans="1:11">
      <c r="A608" s="374">
        <v>606</v>
      </c>
      <c r="B608" s="375" t="s">
        <v>486</v>
      </c>
      <c r="C608" s="375">
        <v>7552264312</v>
      </c>
      <c r="D608" s="398" t="s">
        <v>261</v>
      </c>
      <c r="E608" s="376">
        <v>45866</v>
      </c>
      <c r="F608" s="378" t="s">
        <v>476</v>
      </c>
      <c r="G608" s="378"/>
      <c r="H608" s="378"/>
      <c r="I608" s="376">
        <v>45792</v>
      </c>
      <c r="J608" s="376">
        <v>45792</v>
      </c>
      <c r="K608" s="379">
        <v>7552264310</v>
      </c>
    </row>
    <row r="609" spans="1:11">
      <c r="A609" s="374">
        <v>607</v>
      </c>
      <c r="B609" s="375" t="s">
        <v>486</v>
      </c>
      <c r="C609" s="375">
        <v>7552264531</v>
      </c>
      <c r="D609" s="398" t="s">
        <v>261</v>
      </c>
      <c r="E609" s="376">
        <v>45866</v>
      </c>
      <c r="F609" s="378" t="s">
        <v>476</v>
      </c>
      <c r="G609" s="378"/>
      <c r="H609" s="378"/>
      <c r="I609" s="376">
        <v>45826</v>
      </c>
      <c r="J609" s="376">
        <v>45826</v>
      </c>
      <c r="K609" s="379">
        <v>7552264312</v>
      </c>
    </row>
    <row r="610" spans="1:11">
      <c r="A610" s="374">
        <v>608</v>
      </c>
      <c r="B610" s="375" t="s">
        <v>486</v>
      </c>
      <c r="C610" s="375">
        <v>7552378260</v>
      </c>
      <c r="D610" s="398" t="s">
        <v>247</v>
      </c>
      <c r="E610" s="376">
        <v>45866</v>
      </c>
      <c r="F610" s="378" t="s">
        <v>476</v>
      </c>
      <c r="G610" s="378"/>
      <c r="H610" s="378"/>
      <c r="I610" s="376">
        <v>45811</v>
      </c>
      <c r="J610" s="376">
        <v>45811</v>
      </c>
      <c r="K610" s="379">
        <v>7552225510</v>
      </c>
    </row>
    <row r="611" spans="1:11">
      <c r="A611" s="374">
        <v>609</v>
      </c>
      <c r="B611" s="375" t="s">
        <v>486</v>
      </c>
      <c r="C611" s="375">
        <v>7552378270</v>
      </c>
      <c r="D611" s="398" t="s">
        <v>247</v>
      </c>
      <c r="E611" s="376">
        <v>45866</v>
      </c>
      <c r="F611" s="378" t="s">
        <v>476</v>
      </c>
      <c r="G611" s="378"/>
      <c r="H611" s="378"/>
      <c r="I611" s="376">
        <v>45811</v>
      </c>
      <c r="J611" s="376">
        <v>45811</v>
      </c>
      <c r="K611" s="379">
        <v>7552225510</v>
      </c>
    </row>
    <row r="612" spans="1:11">
      <c r="A612" s="374">
        <v>610</v>
      </c>
      <c r="B612" s="375" t="s">
        <v>503</v>
      </c>
      <c r="C612" s="375">
        <v>7552418131</v>
      </c>
      <c r="D612" s="398" t="s">
        <v>287</v>
      </c>
      <c r="E612" s="376">
        <v>45866</v>
      </c>
      <c r="F612" s="378" t="s">
        <v>476</v>
      </c>
      <c r="G612" s="378"/>
      <c r="H612" s="378"/>
      <c r="I612" s="376">
        <v>45840</v>
      </c>
      <c r="J612" s="376">
        <v>45840</v>
      </c>
      <c r="K612" s="379">
        <v>7552418171</v>
      </c>
    </row>
    <row r="613" spans="1:11">
      <c r="A613" s="374">
        <v>611</v>
      </c>
      <c r="B613" s="375" t="s">
        <v>503</v>
      </c>
      <c r="C613" s="375">
        <v>7552418201</v>
      </c>
      <c r="D613" s="398" t="s">
        <v>287</v>
      </c>
      <c r="E613" s="376">
        <v>45866</v>
      </c>
      <c r="F613" s="378" t="s">
        <v>476</v>
      </c>
      <c r="G613" s="378"/>
      <c r="H613" s="378"/>
      <c r="I613" s="376">
        <v>45840</v>
      </c>
      <c r="J613" s="376">
        <v>45840</v>
      </c>
      <c r="K613" s="379">
        <v>7552418051</v>
      </c>
    </row>
    <row r="614" spans="1:11">
      <c r="A614" s="374">
        <v>612</v>
      </c>
      <c r="B614" s="375" t="s">
        <v>503</v>
      </c>
      <c r="C614" s="375">
        <v>8983906400</v>
      </c>
      <c r="D614" s="398" t="s">
        <v>6</v>
      </c>
      <c r="E614" s="376">
        <v>45866</v>
      </c>
      <c r="F614" s="378" t="s">
        <v>476</v>
      </c>
      <c r="G614" s="378"/>
      <c r="H614" s="378"/>
      <c r="I614" s="376">
        <v>45854</v>
      </c>
      <c r="J614" s="376">
        <v>45854</v>
      </c>
      <c r="K614" s="379">
        <v>8983906470</v>
      </c>
    </row>
    <row r="615" spans="1:11">
      <c r="A615" s="374">
        <v>613</v>
      </c>
      <c r="B615" s="375" t="s">
        <v>503</v>
      </c>
      <c r="C615" s="375">
        <v>8983906770</v>
      </c>
      <c r="D615" s="398" t="s">
        <v>6</v>
      </c>
      <c r="E615" s="376">
        <v>45866</v>
      </c>
      <c r="F615" s="378" t="s">
        <v>476</v>
      </c>
      <c r="G615" s="378"/>
      <c r="H615" s="378"/>
      <c r="I615" s="376">
        <v>45854</v>
      </c>
      <c r="J615" s="376">
        <v>45854</v>
      </c>
      <c r="K615" s="379">
        <v>8983906780</v>
      </c>
    </row>
    <row r="616" spans="1:11">
      <c r="A616" s="374">
        <v>614</v>
      </c>
      <c r="B616" s="375" t="s">
        <v>486</v>
      </c>
      <c r="C616" s="375">
        <v>7552127032</v>
      </c>
      <c r="D616" s="398" t="s">
        <v>257</v>
      </c>
      <c r="E616" s="376">
        <v>45873</v>
      </c>
      <c r="F616" s="378" t="s">
        <v>511</v>
      </c>
      <c r="G616" s="378"/>
      <c r="H616" s="378"/>
      <c r="I616" s="376">
        <v>45826</v>
      </c>
      <c r="J616" s="376">
        <v>45826</v>
      </c>
      <c r="K616" s="379">
        <v>7552127153</v>
      </c>
    </row>
    <row r="617" spans="1:11">
      <c r="A617" s="374">
        <v>615</v>
      </c>
      <c r="B617" s="375" t="s">
        <v>486</v>
      </c>
      <c r="C617" s="375">
        <v>8978767173</v>
      </c>
      <c r="D617" s="398" t="s">
        <v>245</v>
      </c>
      <c r="E617" s="376">
        <v>45873</v>
      </c>
      <c r="F617" s="378" t="s">
        <v>476</v>
      </c>
      <c r="G617" s="378"/>
      <c r="H617" s="378"/>
      <c r="I617" s="376">
        <v>45854</v>
      </c>
      <c r="J617" s="376">
        <v>45854</v>
      </c>
      <c r="K617" s="379">
        <v>8978767222</v>
      </c>
    </row>
    <row r="618" spans="1:11">
      <c r="A618" s="374">
        <v>616</v>
      </c>
      <c r="B618" s="375" t="s">
        <v>486</v>
      </c>
      <c r="C618" s="375">
        <v>8978795003</v>
      </c>
      <c r="D618" s="398" t="s">
        <v>256</v>
      </c>
      <c r="E618" s="376">
        <v>45873</v>
      </c>
      <c r="F618" s="378" t="s">
        <v>476</v>
      </c>
      <c r="G618" s="378"/>
      <c r="H618" s="378"/>
      <c r="I618" s="376">
        <v>45854</v>
      </c>
      <c r="J618" s="376">
        <v>45854</v>
      </c>
      <c r="K618" s="379">
        <v>8978795022</v>
      </c>
    </row>
    <row r="619" spans="1:11">
      <c r="A619" s="374">
        <v>617</v>
      </c>
      <c r="B619" s="375" t="s">
        <v>503</v>
      </c>
      <c r="C619" s="375">
        <v>8983826051</v>
      </c>
      <c r="D619" s="398" t="s">
        <v>13</v>
      </c>
      <c r="E619" s="376">
        <v>45873</v>
      </c>
      <c r="F619" s="378" t="s">
        <v>476</v>
      </c>
      <c r="G619" s="378"/>
      <c r="H619" s="378"/>
      <c r="I619" s="376">
        <v>45854</v>
      </c>
      <c r="J619" s="376">
        <v>45854</v>
      </c>
      <c r="K619" s="379">
        <v>8983826061</v>
      </c>
    </row>
    <row r="620" spans="1:11">
      <c r="A620" s="374">
        <v>618</v>
      </c>
      <c r="B620" s="375" t="s">
        <v>503</v>
      </c>
      <c r="C620" s="375">
        <v>8983826021</v>
      </c>
      <c r="D620" s="398" t="s">
        <v>13</v>
      </c>
      <c r="E620" s="376">
        <v>45887</v>
      </c>
      <c r="F620" s="378" t="s">
        <v>476</v>
      </c>
      <c r="G620" s="378"/>
      <c r="H620" s="378"/>
      <c r="I620" s="376">
        <v>45854</v>
      </c>
      <c r="J620" s="376">
        <v>45854</v>
      </c>
      <c r="K620" s="379">
        <v>8983826031</v>
      </c>
    </row>
    <row r="621" spans="1:11">
      <c r="A621" s="374">
        <v>619</v>
      </c>
      <c r="B621" s="375" t="s">
        <v>503</v>
      </c>
      <c r="C621" s="375">
        <v>8983906500</v>
      </c>
      <c r="D621" s="398" t="s">
        <v>6</v>
      </c>
      <c r="E621" s="376">
        <v>45887</v>
      </c>
      <c r="F621" s="378" t="s">
        <v>476</v>
      </c>
      <c r="G621" s="378"/>
      <c r="H621" s="378"/>
      <c r="I621" s="376">
        <v>45861</v>
      </c>
      <c r="J621" s="376">
        <v>45861</v>
      </c>
      <c r="K621" s="379">
        <v>8983906510</v>
      </c>
    </row>
    <row r="622" spans="1:11">
      <c r="A622" s="374">
        <v>620</v>
      </c>
      <c r="B622" s="375" t="s">
        <v>486</v>
      </c>
      <c r="C622" s="375">
        <v>7551909410</v>
      </c>
      <c r="D622" s="398" t="s">
        <v>245</v>
      </c>
      <c r="E622" s="376">
        <v>45894</v>
      </c>
      <c r="F622" s="378" t="s">
        <v>476</v>
      </c>
      <c r="G622" s="378"/>
      <c r="H622" s="378"/>
      <c r="I622" s="376">
        <v>45888</v>
      </c>
      <c r="J622" s="376">
        <v>45888</v>
      </c>
      <c r="K622" s="379">
        <v>7551909092</v>
      </c>
    </row>
    <row r="623" spans="1:11">
      <c r="A623" s="374">
        <v>621</v>
      </c>
      <c r="B623" s="375" t="s">
        <v>486</v>
      </c>
      <c r="C623" s="375">
        <v>7552378520</v>
      </c>
      <c r="D623" s="398" t="s">
        <v>247</v>
      </c>
      <c r="E623" s="376">
        <v>45894</v>
      </c>
      <c r="F623" s="378" t="s">
        <v>560</v>
      </c>
      <c r="G623" s="378"/>
      <c r="H623" s="378"/>
      <c r="I623" s="376">
        <v>45799</v>
      </c>
      <c r="J623" s="376">
        <v>45799</v>
      </c>
      <c r="K623" s="379">
        <v>7552378490</v>
      </c>
    </row>
    <row r="624" spans="1:11">
      <c r="A624" s="374">
        <v>622</v>
      </c>
      <c r="B624" s="375" t="s">
        <v>486</v>
      </c>
      <c r="C624" s="375">
        <v>8972681132</v>
      </c>
      <c r="D624" s="398" t="s">
        <v>256</v>
      </c>
      <c r="E624" s="376">
        <v>45894</v>
      </c>
      <c r="F624" s="378" t="s">
        <v>476</v>
      </c>
      <c r="G624" s="378"/>
      <c r="H624" s="378"/>
      <c r="I624" s="376">
        <v>45861</v>
      </c>
      <c r="J624" s="376">
        <v>45861</v>
      </c>
      <c r="K624" s="379">
        <v>8972681154</v>
      </c>
    </row>
    <row r="625" spans="1:11">
      <c r="A625" s="374">
        <v>623</v>
      </c>
      <c r="B625" s="375" t="s">
        <v>503</v>
      </c>
      <c r="C625" s="375">
        <v>8978408170</v>
      </c>
      <c r="D625" s="398" t="s">
        <v>12</v>
      </c>
      <c r="E625" s="376">
        <v>45894</v>
      </c>
      <c r="F625" s="378" t="s">
        <v>476</v>
      </c>
      <c r="G625" s="378"/>
      <c r="H625" s="378"/>
      <c r="I625" s="376">
        <v>45833</v>
      </c>
      <c r="J625" s="376">
        <v>45833</v>
      </c>
      <c r="K625" s="379">
        <v>8978408180</v>
      </c>
    </row>
    <row r="626" spans="1:11">
      <c r="A626" s="374">
        <v>624</v>
      </c>
      <c r="B626" s="375" t="s">
        <v>486</v>
      </c>
      <c r="C626" s="375">
        <v>7552078330</v>
      </c>
      <c r="D626" s="398" t="s">
        <v>278</v>
      </c>
      <c r="E626" s="376">
        <v>45901</v>
      </c>
      <c r="F626" s="378" t="s">
        <v>476</v>
      </c>
      <c r="G626" s="378"/>
      <c r="H626" s="378"/>
      <c r="I626" s="376">
        <v>45888</v>
      </c>
      <c r="J626" s="376">
        <v>45888</v>
      </c>
      <c r="K626" s="379">
        <v>7552078310</v>
      </c>
    </row>
    <row r="627" spans="1:11">
      <c r="A627" s="374">
        <v>625</v>
      </c>
      <c r="B627" s="375" t="s">
        <v>486</v>
      </c>
      <c r="C627" s="375">
        <v>8972681122</v>
      </c>
      <c r="D627" s="398" t="s">
        <v>256</v>
      </c>
      <c r="E627" s="376">
        <v>45901</v>
      </c>
      <c r="F627" s="378" t="s">
        <v>476</v>
      </c>
      <c r="G627" s="378"/>
      <c r="H627" s="378"/>
      <c r="I627" s="376">
        <v>45862</v>
      </c>
      <c r="J627" s="376">
        <v>45862</v>
      </c>
      <c r="K627" s="379">
        <v>8972681121</v>
      </c>
    </row>
    <row r="628" spans="1:11">
      <c r="A628" s="374">
        <v>626</v>
      </c>
      <c r="B628" s="375" t="s">
        <v>486</v>
      </c>
      <c r="C628" s="375">
        <v>8972681142</v>
      </c>
      <c r="D628" s="398" t="s">
        <v>256</v>
      </c>
      <c r="E628" s="376">
        <v>45901</v>
      </c>
      <c r="F628" s="378" t="s">
        <v>476</v>
      </c>
      <c r="G628" s="378"/>
      <c r="H628" s="378"/>
      <c r="I628" s="376">
        <v>45873</v>
      </c>
      <c r="J628" s="376">
        <v>45873</v>
      </c>
      <c r="K628" s="379">
        <v>8972681154</v>
      </c>
    </row>
    <row r="629" spans="1:11">
      <c r="A629" s="374">
        <v>627</v>
      </c>
      <c r="B629" s="375" t="s">
        <v>486</v>
      </c>
      <c r="C629" s="375">
        <v>8978767342</v>
      </c>
      <c r="D629" s="398" t="s">
        <v>245</v>
      </c>
      <c r="E629" s="376">
        <v>45901</v>
      </c>
      <c r="F629" s="378" t="s">
        <v>476</v>
      </c>
      <c r="G629" s="378"/>
      <c r="H629" s="378"/>
      <c r="I629" s="376">
        <v>45888</v>
      </c>
      <c r="J629" s="376">
        <v>45888</v>
      </c>
      <c r="K629" s="379">
        <v>8978767312</v>
      </c>
    </row>
    <row r="630" spans="1:11">
      <c r="A630" s="374">
        <v>628</v>
      </c>
      <c r="B630" s="375" t="s">
        <v>486</v>
      </c>
      <c r="C630" s="375">
        <v>7552224500</v>
      </c>
      <c r="D630" s="398" t="s">
        <v>244</v>
      </c>
      <c r="E630" s="376">
        <v>45908</v>
      </c>
      <c r="F630" s="378" t="s">
        <v>476</v>
      </c>
      <c r="G630" s="378"/>
      <c r="H630" s="378"/>
      <c r="I630" s="376">
        <v>45867</v>
      </c>
      <c r="J630" s="376">
        <v>45867</v>
      </c>
      <c r="K630" s="379">
        <v>7552208750</v>
      </c>
    </row>
    <row r="631" spans="1:11">
      <c r="A631" s="374">
        <v>629</v>
      </c>
      <c r="B631" s="375" t="s">
        <v>503</v>
      </c>
      <c r="C631" s="375">
        <v>7552418121</v>
      </c>
      <c r="D631" s="398" t="s">
        <v>287</v>
      </c>
      <c r="E631" s="376">
        <v>45908</v>
      </c>
      <c r="F631" s="378" t="s">
        <v>476</v>
      </c>
      <c r="G631" s="378"/>
      <c r="H631" s="378"/>
      <c r="I631" s="376">
        <v>45888</v>
      </c>
      <c r="J631" s="376">
        <v>45888</v>
      </c>
      <c r="K631" s="379">
        <v>7552418141</v>
      </c>
    </row>
    <row r="632" spans="1:11">
      <c r="A632" s="374">
        <v>630</v>
      </c>
      <c r="B632" s="375" t="s">
        <v>486</v>
      </c>
      <c r="C632" s="375">
        <v>7552378410</v>
      </c>
      <c r="D632" s="398" t="s">
        <v>247</v>
      </c>
      <c r="E632" s="376">
        <v>45922</v>
      </c>
      <c r="F632" s="378" t="s">
        <v>476</v>
      </c>
      <c r="G632" s="378"/>
      <c r="H632" s="378"/>
      <c r="I632" s="376">
        <v>45867</v>
      </c>
      <c r="J632" s="376">
        <v>45867</v>
      </c>
      <c r="K632" s="379">
        <v>7552378260</v>
      </c>
    </row>
    <row r="633" spans="1:11">
      <c r="A633" s="374">
        <v>631</v>
      </c>
      <c r="B633" s="375" t="s">
        <v>486</v>
      </c>
      <c r="C633" s="375">
        <v>7552378420</v>
      </c>
      <c r="D633" s="398" t="s">
        <v>247</v>
      </c>
      <c r="E633" s="376">
        <v>45922</v>
      </c>
      <c r="F633" s="378" t="s">
        <v>476</v>
      </c>
      <c r="G633" s="378"/>
      <c r="H633" s="378"/>
      <c r="I633" s="376">
        <v>45888</v>
      </c>
      <c r="J633" s="376">
        <v>45888</v>
      </c>
      <c r="K633" s="379">
        <v>7552378270</v>
      </c>
    </row>
    <row r="634" spans="1:11">
      <c r="A634" s="374">
        <v>632</v>
      </c>
      <c r="B634" s="375" t="s">
        <v>503</v>
      </c>
      <c r="C634" s="375">
        <v>8976763020</v>
      </c>
      <c r="D634" s="398" t="s">
        <v>286</v>
      </c>
      <c r="E634" s="376">
        <v>45922</v>
      </c>
      <c r="F634" s="378" t="s">
        <v>476</v>
      </c>
      <c r="G634" s="378"/>
      <c r="H634" s="378"/>
      <c r="I634" s="376">
        <v>45888</v>
      </c>
      <c r="J634" s="376">
        <v>45888</v>
      </c>
      <c r="K634" s="379">
        <v>8976763030</v>
      </c>
    </row>
    <row r="635" spans="1:11">
      <c r="A635" s="374">
        <v>633</v>
      </c>
      <c r="B635" s="375" t="s">
        <v>503</v>
      </c>
      <c r="C635" s="375">
        <v>8978431070</v>
      </c>
      <c r="D635" s="398" t="s">
        <v>289</v>
      </c>
      <c r="E635" s="376">
        <v>45922</v>
      </c>
      <c r="F635" s="378" t="s">
        <v>476</v>
      </c>
      <c r="G635" s="378"/>
      <c r="H635" s="378"/>
      <c r="I635" s="376">
        <v>45833</v>
      </c>
      <c r="J635" s="376">
        <v>45833</v>
      </c>
      <c r="K635" s="379">
        <v>8978431090</v>
      </c>
    </row>
    <row r="636" spans="1:11">
      <c r="A636" s="374">
        <v>634</v>
      </c>
      <c r="B636" s="375" t="s">
        <v>486</v>
      </c>
      <c r="C636" s="375">
        <v>8978795013</v>
      </c>
      <c r="D636" s="398" t="s">
        <v>256</v>
      </c>
      <c r="E636" s="376">
        <v>45922</v>
      </c>
      <c r="F636" s="378" t="s">
        <v>476</v>
      </c>
      <c r="G636" s="378"/>
      <c r="H636" s="378"/>
      <c r="I636" s="376">
        <v>45903</v>
      </c>
      <c r="J636" s="376">
        <v>45903</v>
      </c>
      <c r="K636" s="379">
        <v>8978795003</v>
      </c>
    </row>
    <row r="637" spans="1:11">
      <c r="A637" s="374">
        <v>635</v>
      </c>
      <c r="B637" s="375" t="s">
        <v>486</v>
      </c>
      <c r="C637" s="375">
        <v>7551946121</v>
      </c>
      <c r="D637" s="398" t="s">
        <v>247</v>
      </c>
      <c r="E637" s="376">
        <v>45929</v>
      </c>
      <c r="F637" s="378" t="s">
        <v>476</v>
      </c>
      <c r="G637" s="378"/>
      <c r="H637" s="378"/>
      <c r="I637" s="376">
        <v>45888</v>
      </c>
      <c r="J637" s="376">
        <v>45888</v>
      </c>
      <c r="K637" s="379">
        <v>7551945721</v>
      </c>
    </row>
    <row r="638" spans="1:11">
      <c r="A638" s="374">
        <v>636</v>
      </c>
      <c r="B638" s="375" t="s">
        <v>486</v>
      </c>
      <c r="C638" s="375">
        <v>7552222911</v>
      </c>
      <c r="D638" s="398" t="s">
        <v>245</v>
      </c>
      <c r="E638" s="376">
        <v>45929</v>
      </c>
      <c r="F638" s="378" t="s">
        <v>476</v>
      </c>
      <c r="G638" s="378"/>
      <c r="H638" s="378"/>
      <c r="I638" s="376">
        <v>45909</v>
      </c>
      <c r="J638" s="376">
        <v>45909</v>
      </c>
      <c r="K638" s="379">
        <v>7552222851</v>
      </c>
    </row>
    <row r="639" spans="1:11">
      <c r="A639" s="374">
        <v>637</v>
      </c>
      <c r="B639" s="375" t="s">
        <v>486</v>
      </c>
      <c r="C639" s="375">
        <v>7552735110</v>
      </c>
      <c r="D639" s="398" t="s">
        <v>237</v>
      </c>
      <c r="E639" s="376">
        <v>45929</v>
      </c>
      <c r="F639" s="378" t="s">
        <v>476</v>
      </c>
      <c r="G639" s="378"/>
      <c r="H639" s="378"/>
      <c r="I639" s="376">
        <v>45888</v>
      </c>
      <c r="J639" s="376">
        <v>45888</v>
      </c>
      <c r="K639" s="379">
        <v>7552380911</v>
      </c>
    </row>
    <row r="640" spans="1:11">
      <c r="A640" s="374">
        <v>638</v>
      </c>
      <c r="B640" s="375" t="s">
        <v>562</v>
      </c>
      <c r="C640" s="375">
        <v>7552735130</v>
      </c>
      <c r="D640" s="398" t="s">
        <v>237</v>
      </c>
      <c r="E640" s="376">
        <v>45929</v>
      </c>
      <c r="F640" s="378" t="s">
        <v>476</v>
      </c>
      <c r="G640" s="378"/>
      <c r="H640" s="378"/>
      <c r="I640" s="376" t="s">
        <v>475</v>
      </c>
      <c r="J640" s="376"/>
      <c r="K640" s="379"/>
    </row>
    <row r="641" spans="1:11">
      <c r="A641" s="374">
        <v>639</v>
      </c>
      <c r="B641" s="375" t="s">
        <v>486</v>
      </c>
      <c r="C641" s="375">
        <v>8978795024</v>
      </c>
      <c r="D641" s="398" t="s">
        <v>256</v>
      </c>
      <c r="E641" s="376">
        <v>45929</v>
      </c>
      <c r="F641" s="378" t="s">
        <v>560</v>
      </c>
      <c r="G641" s="378"/>
      <c r="H641" s="378"/>
      <c r="I641" s="376"/>
      <c r="J641" s="376"/>
      <c r="K641" s="379"/>
    </row>
    <row r="642" spans="1:11">
      <c r="A642" s="374">
        <v>640</v>
      </c>
      <c r="B642" s="375" t="s">
        <v>562</v>
      </c>
      <c r="C642" s="375">
        <v>7552208651</v>
      </c>
      <c r="D642" s="398" t="s">
        <v>237</v>
      </c>
      <c r="E642" s="376">
        <v>45936</v>
      </c>
      <c r="F642" s="378" t="s">
        <v>476</v>
      </c>
      <c r="G642" s="378"/>
      <c r="H642" s="378"/>
      <c r="I642" s="376" t="s">
        <v>475</v>
      </c>
      <c r="J642" s="376"/>
      <c r="K642" s="379"/>
    </row>
    <row r="643" spans="1:11">
      <c r="A643" s="374">
        <v>641</v>
      </c>
      <c r="B643" s="375" t="s">
        <v>562</v>
      </c>
      <c r="C643" s="375">
        <v>7552213371</v>
      </c>
      <c r="D643" s="398" t="s">
        <v>237</v>
      </c>
      <c r="E643" s="376">
        <v>45936</v>
      </c>
      <c r="F643" s="378" t="s">
        <v>560</v>
      </c>
      <c r="G643" s="378"/>
      <c r="H643" s="378"/>
      <c r="I643" s="376" t="s">
        <v>475</v>
      </c>
      <c r="J643" s="376"/>
      <c r="K643" s="379"/>
    </row>
    <row r="644" spans="1:11">
      <c r="A644" s="374">
        <v>642</v>
      </c>
      <c r="B644" s="375" t="s">
        <v>575</v>
      </c>
      <c r="C644" s="375">
        <v>7552735860</v>
      </c>
      <c r="D644" s="398" t="s">
        <v>244</v>
      </c>
      <c r="E644" s="376">
        <v>45936</v>
      </c>
      <c r="F644" s="378" t="s">
        <v>476</v>
      </c>
      <c r="G644" s="378"/>
      <c r="H644" s="378"/>
      <c r="I644" s="376" t="s">
        <v>475</v>
      </c>
      <c r="J644" s="376"/>
      <c r="K644" s="379"/>
    </row>
    <row r="645" spans="1:11">
      <c r="A645" s="374">
        <v>643</v>
      </c>
      <c r="B645" s="375" t="s">
        <v>575</v>
      </c>
      <c r="C645" s="375">
        <v>7552736020</v>
      </c>
      <c r="D645" s="398" t="s">
        <v>244</v>
      </c>
      <c r="E645" s="376">
        <v>45936</v>
      </c>
      <c r="F645" s="378" t="s">
        <v>476</v>
      </c>
      <c r="G645" s="378"/>
      <c r="H645" s="378"/>
      <c r="I645" s="376" t="s">
        <v>475</v>
      </c>
      <c r="J645" s="376"/>
      <c r="K645" s="379"/>
    </row>
    <row r="646" spans="1:11">
      <c r="A646" s="374">
        <v>644</v>
      </c>
      <c r="B646" s="375" t="s">
        <v>486</v>
      </c>
      <c r="C646" s="375">
        <v>7552312630</v>
      </c>
      <c r="D646" s="398" t="s">
        <v>269</v>
      </c>
      <c r="E646" s="376">
        <v>45943</v>
      </c>
      <c r="F646" s="378" t="s">
        <v>476</v>
      </c>
      <c r="G646" s="378"/>
      <c r="H646" s="378"/>
      <c r="I646" s="376">
        <v>45874</v>
      </c>
      <c r="J646" s="376">
        <v>45874</v>
      </c>
      <c r="K646" s="379">
        <v>7552312870</v>
      </c>
    </row>
    <row r="647" spans="1:11">
      <c r="A647" s="374">
        <v>645</v>
      </c>
      <c r="B647" s="375" t="s">
        <v>546</v>
      </c>
      <c r="C647" s="375">
        <v>7551946401</v>
      </c>
      <c r="D647" s="398" t="s">
        <v>247</v>
      </c>
      <c r="E647" s="376">
        <v>45957</v>
      </c>
      <c r="F647" s="378" t="s">
        <v>560</v>
      </c>
      <c r="G647" s="378"/>
      <c r="H647" s="378"/>
      <c r="I647" s="376"/>
      <c r="J647" s="376"/>
      <c r="K647" s="379"/>
    </row>
    <row r="648" spans="1:11">
      <c r="A648" s="374">
        <v>646</v>
      </c>
      <c r="B648" s="375" t="s">
        <v>546</v>
      </c>
      <c r="C648" s="375">
        <v>7551946411</v>
      </c>
      <c r="D648" s="398" t="s">
        <v>247</v>
      </c>
      <c r="E648" s="376">
        <v>45957</v>
      </c>
      <c r="F648" s="378" t="s">
        <v>560</v>
      </c>
      <c r="G648" s="378"/>
      <c r="H648" s="378"/>
      <c r="I648" s="376"/>
      <c r="J648" s="376"/>
      <c r="K648" s="379"/>
    </row>
    <row r="649" spans="1:11">
      <c r="A649" s="374">
        <v>647</v>
      </c>
      <c r="B649" s="375" t="s">
        <v>546</v>
      </c>
      <c r="C649" s="375">
        <v>7552127222</v>
      </c>
      <c r="D649" s="398" t="s">
        <v>512</v>
      </c>
      <c r="E649" s="376">
        <v>45957</v>
      </c>
      <c r="F649" s="378" t="s">
        <v>560</v>
      </c>
      <c r="G649" s="378"/>
      <c r="H649" s="378"/>
      <c r="I649" s="376"/>
      <c r="J649" s="376"/>
      <c r="K649" s="379"/>
    </row>
    <row r="650" spans="1:11">
      <c r="A650" s="374">
        <v>648</v>
      </c>
      <c r="B650" s="375" t="s">
        <v>546</v>
      </c>
      <c r="C650" s="375">
        <v>7552165001</v>
      </c>
      <c r="D650" s="398" t="s">
        <v>287</v>
      </c>
      <c r="E650" s="376">
        <v>45957</v>
      </c>
      <c r="F650" s="378" t="s">
        <v>560</v>
      </c>
      <c r="G650" s="378"/>
      <c r="H650" s="378"/>
      <c r="I650" s="376"/>
      <c r="J650" s="376"/>
      <c r="K650" s="379"/>
    </row>
    <row r="651" spans="1:11">
      <c r="A651" s="374">
        <v>649</v>
      </c>
      <c r="B651" s="375" t="s">
        <v>546</v>
      </c>
      <c r="C651" s="375">
        <v>7552165512</v>
      </c>
      <c r="D651" s="398" t="s">
        <v>297</v>
      </c>
      <c r="E651" s="376">
        <v>45957</v>
      </c>
      <c r="F651" s="378" t="s">
        <v>560</v>
      </c>
      <c r="G651" s="378"/>
      <c r="H651" s="378"/>
      <c r="I651" s="376"/>
      <c r="J651" s="376"/>
      <c r="K651" s="379"/>
    </row>
    <row r="652" spans="1:11">
      <c r="A652" s="374">
        <v>650</v>
      </c>
      <c r="B652" s="375" t="s">
        <v>546</v>
      </c>
      <c r="C652" s="375">
        <v>7552165982</v>
      </c>
      <c r="D652" s="398" t="s">
        <v>297</v>
      </c>
      <c r="E652" s="376">
        <v>45957</v>
      </c>
      <c r="F652" s="378" t="s">
        <v>560</v>
      </c>
      <c r="G652" s="378"/>
      <c r="H652" s="378"/>
      <c r="I652" s="376"/>
      <c r="J652" s="376"/>
      <c r="K652" s="379"/>
    </row>
    <row r="653" spans="1:11">
      <c r="A653" s="374">
        <v>651</v>
      </c>
      <c r="B653" s="375" t="s">
        <v>503</v>
      </c>
      <c r="C653" s="375">
        <v>7552166153</v>
      </c>
      <c r="D653" s="398" t="s">
        <v>257</v>
      </c>
      <c r="E653" s="376">
        <v>45957</v>
      </c>
      <c r="F653" s="378" t="s">
        <v>476</v>
      </c>
      <c r="G653" s="378"/>
      <c r="H653" s="378"/>
      <c r="I653" s="376">
        <v>45903</v>
      </c>
      <c r="J653" s="376">
        <v>45903</v>
      </c>
      <c r="K653" s="379">
        <v>7552166150</v>
      </c>
    </row>
    <row r="654" spans="1:11">
      <c r="A654" s="374">
        <v>652</v>
      </c>
      <c r="B654" s="375" t="s">
        <v>486</v>
      </c>
      <c r="C654" s="375">
        <v>7552378360</v>
      </c>
      <c r="D654" s="398" t="s">
        <v>247</v>
      </c>
      <c r="E654" s="376">
        <v>45957</v>
      </c>
      <c r="F654" s="378" t="s">
        <v>476</v>
      </c>
      <c r="G654" s="378"/>
      <c r="H654" s="378"/>
      <c r="I654" s="376">
        <v>45874</v>
      </c>
      <c r="J654" s="376">
        <v>45874</v>
      </c>
      <c r="K654" s="379">
        <v>7552378520</v>
      </c>
    </row>
    <row r="655" spans="1:11">
      <c r="A655" s="374">
        <v>653</v>
      </c>
      <c r="B655" s="375" t="s">
        <v>546</v>
      </c>
      <c r="C655" s="375">
        <v>7552378530</v>
      </c>
      <c r="D655" s="398" t="s">
        <v>247</v>
      </c>
      <c r="E655" s="376">
        <v>45957</v>
      </c>
      <c r="F655" s="378" t="s">
        <v>560</v>
      </c>
      <c r="G655" s="378"/>
      <c r="H655" s="378"/>
      <c r="I655" s="376"/>
      <c r="J655" s="376"/>
      <c r="K655" s="379"/>
    </row>
    <row r="656" spans="1:11">
      <c r="A656" s="374">
        <v>654</v>
      </c>
      <c r="B656" s="375" t="s">
        <v>562</v>
      </c>
      <c r="C656" s="375">
        <v>7552702970</v>
      </c>
      <c r="D656" s="398" t="s">
        <v>263</v>
      </c>
      <c r="E656" s="376">
        <v>45957</v>
      </c>
      <c r="F656" s="378" t="s">
        <v>476</v>
      </c>
      <c r="G656" s="378"/>
      <c r="H656" s="378"/>
      <c r="I656" s="376" t="s">
        <v>475</v>
      </c>
      <c r="J656" s="376"/>
      <c r="K656" s="379"/>
    </row>
    <row r="657" spans="1:11">
      <c r="A657" s="374">
        <v>655</v>
      </c>
      <c r="B657" s="375" t="s">
        <v>562</v>
      </c>
      <c r="C657" s="375">
        <v>7552703000</v>
      </c>
      <c r="D657" s="398" t="s">
        <v>9</v>
      </c>
      <c r="E657" s="376">
        <v>45957</v>
      </c>
      <c r="F657" s="378" t="s">
        <v>560</v>
      </c>
      <c r="G657" s="378"/>
      <c r="H657" s="378"/>
      <c r="I657" s="376" t="s">
        <v>475</v>
      </c>
      <c r="J657" s="376"/>
      <c r="K657" s="379"/>
    </row>
    <row r="658" spans="1:11">
      <c r="A658" s="374">
        <v>656</v>
      </c>
      <c r="B658" s="375" t="s">
        <v>486</v>
      </c>
      <c r="C658" s="375">
        <v>7552714200</v>
      </c>
      <c r="D658" s="398" t="s">
        <v>266</v>
      </c>
      <c r="E658" s="376">
        <v>45957</v>
      </c>
      <c r="F658" s="378" t="s">
        <v>560</v>
      </c>
      <c r="G658" s="378"/>
      <c r="H658" s="378"/>
      <c r="I658" s="376"/>
      <c r="J658" s="376"/>
      <c r="K658" s="379"/>
    </row>
    <row r="659" spans="1:11">
      <c r="A659" s="374">
        <v>657</v>
      </c>
      <c r="B659" s="375" t="s">
        <v>543</v>
      </c>
      <c r="C659" s="375">
        <v>7552735180</v>
      </c>
      <c r="D659" s="398" t="s">
        <v>237</v>
      </c>
      <c r="E659" s="376">
        <v>45957</v>
      </c>
      <c r="F659" s="378"/>
      <c r="G659" s="378"/>
      <c r="H659" s="378"/>
      <c r="I659" s="376" t="s">
        <v>475</v>
      </c>
      <c r="J659" s="376"/>
      <c r="K659" s="379"/>
    </row>
    <row r="660" spans="1:11">
      <c r="A660" s="374">
        <v>658</v>
      </c>
      <c r="B660" s="375" t="s">
        <v>543</v>
      </c>
      <c r="C660" s="375">
        <v>7552735800</v>
      </c>
      <c r="D660" s="398" t="s">
        <v>237</v>
      </c>
      <c r="E660" s="376">
        <v>45957</v>
      </c>
      <c r="F660" s="378"/>
      <c r="G660" s="378"/>
      <c r="H660" s="378"/>
      <c r="I660" s="376" t="s">
        <v>475</v>
      </c>
      <c r="J660" s="376"/>
      <c r="K660" s="379"/>
    </row>
    <row r="661" spans="1:11">
      <c r="A661" s="374">
        <v>659</v>
      </c>
      <c r="B661" s="375" t="s">
        <v>543</v>
      </c>
      <c r="C661" s="375">
        <v>7552735840</v>
      </c>
      <c r="D661" s="398" t="s">
        <v>237</v>
      </c>
      <c r="E661" s="376">
        <v>45957</v>
      </c>
      <c r="F661" s="378"/>
      <c r="G661" s="378"/>
      <c r="H661" s="378"/>
      <c r="I661" s="376" t="s">
        <v>475</v>
      </c>
      <c r="J661" s="376"/>
      <c r="K661" s="379"/>
    </row>
    <row r="662" spans="1:11">
      <c r="A662" s="374">
        <v>660</v>
      </c>
      <c r="B662" s="375" t="s">
        <v>543</v>
      </c>
      <c r="C662" s="375">
        <v>7552735850</v>
      </c>
      <c r="D662" s="398" t="s">
        <v>237</v>
      </c>
      <c r="E662" s="376">
        <v>45957</v>
      </c>
      <c r="F662" s="378"/>
      <c r="G662" s="378"/>
      <c r="H662" s="378"/>
      <c r="I662" s="376" t="s">
        <v>475</v>
      </c>
      <c r="J662" s="376"/>
      <c r="K662" s="379"/>
    </row>
    <row r="663" spans="1:11">
      <c r="A663" s="374">
        <v>661</v>
      </c>
      <c r="B663" s="375" t="s">
        <v>543</v>
      </c>
      <c r="C663" s="375">
        <v>7552735980</v>
      </c>
      <c r="D663" s="398" t="s">
        <v>237</v>
      </c>
      <c r="E663" s="376">
        <v>45957</v>
      </c>
      <c r="F663" s="378"/>
      <c r="G663" s="378"/>
      <c r="H663" s="378"/>
      <c r="I663" s="376" t="s">
        <v>475</v>
      </c>
      <c r="J663" s="376"/>
      <c r="K663" s="379"/>
    </row>
    <row r="664" spans="1:11">
      <c r="A664" s="374">
        <v>662</v>
      </c>
      <c r="B664" s="375" t="s">
        <v>543</v>
      </c>
      <c r="C664" s="375">
        <v>7552736030</v>
      </c>
      <c r="D664" s="398" t="s">
        <v>244</v>
      </c>
      <c r="E664" s="376">
        <v>45957</v>
      </c>
      <c r="F664" s="378"/>
      <c r="G664" s="378"/>
      <c r="H664" s="378"/>
      <c r="I664" s="376" t="s">
        <v>475</v>
      </c>
      <c r="J664" s="376"/>
      <c r="K664" s="379"/>
    </row>
    <row r="665" spans="1:11">
      <c r="A665" s="374">
        <v>663</v>
      </c>
      <c r="B665" s="375" t="s">
        <v>543</v>
      </c>
      <c r="C665" s="375">
        <v>7552736100</v>
      </c>
      <c r="D665" s="398" t="s">
        <v>244</v>
      </c>
      <c r="E665" s="376">
        <v>45957</v>
      </c>
      <c r="F665" s="378"/>
      <c r="G665" s="378"/>
      <c r="H665" s="378"/>
      <c r="I665" s="376" t="s">
        <v>475</v>
      </c>
      <c r="J665" s="376"/>
      <c r="K665" s="379"/>
    </row>
    <row r="666" spans="1:11">
      <c r="A666" s="374">
        <v>664</v>
      </c>
      <c r="B666" s="375" t="s">
        <v>543</v>
      </c>
      <c r="C666" s="375">
        <v>7552736110</v>
      </c>
      <c r="D666" s="398" t="s">
        <v>244</v>
      </c>
      <c r="E666" s="376">
        <v>45957</v>
      </c>
      <c r="F666" s="378"/>
      <c r="G666" s="378"/>
      <c r="H666" s="378"/>
      <c r="I666" s="376" t="s">
        <v>475</v>
      </c>
      <c r="J666" s="376"/>
      <c r="K666" s="379"/>
    </row>
    <row r="667" spans="1:11">
      <c r="A667" s="374">
        <v>665</v>
      </c>
      <c r="B667" s="375" t="s">
        <v>546</v>
      </c>
      <c r="C667" s="375">
        <v>8972681162</v>
      </c>
      <c r="D667" s="398" t="s">
        <v>256</v>
      </c>
      <c r="E667" s="376">
        <v>45957</v>
      </c>
      <c r="F667" s="378" t="s">
        <v>560</v>
      </c>
      <c r="G667" s="378"/>
      <c r="H667" s="378"/>
      <c r="I667" s="376"/>
      <c r="J667" s="376"/>
      <c r="K667" s="379"/>
    </row>
    <row r="668" spans="1:11">
      <c r="A668" s="374">
        <v>666</v>
      </c>
      <c r="B668" s="375" t="s">
        <v>503</v>
      </c>
      <c r="C668" s="375">
        <v>8976674400</v>
      </c>
      <c r="D668" s="398" t="s">
        <v>12</v>
      </c>
      <c r="E668" s="376">
        <v>45957</v>
      </c>
      <c r="F668" s="378" t="s">
        <v>476</v>
      </c>
      <c r="G668" s="378"/>
      <c r="H668" s="378"/>
      <c r="I668" s="376">
        <v>45926</v>
      </c>
      <c r="J668" s="376">
        <v>45926</v>
      </c>
      <c r="K668" s="379">
        <v>8976674410</v>
      </c>
    </row>
    <row r="669" spans="1:11">
      <c r="A669" s="374">
        <v>667</v>
      </c>
      <c r="B669" s="375" t="s">
        <v>576</v>
      </c>
      <c r="C669" s="375">
        <v>8976840170</v>
      </c>
      <c r="D669" s="398" t="s">
        <v>281</v>
      </c>
      <c r="E669" s="376">
        <v>45957</v>
      </c>
      <c r="F669" s="378" t="s">
        <v>8</v>
      </c>
      <c r="G669" s="378"/>
      <c r="H669" s="378"/>
      <c r="I669" s="376">
        <v>45940</v>
      </c>
      <c r="J669" s="376">
        <v>45940</v>
      </c>
      <c r="K669" s="379">
        <v>8976840150</v>
      </c>
    </row>
    <row r="670" spans="1:11">
      <c r="A670" s="374">
        <v>668</v>
      </c>
      <c r="B670" s="375" t="s">
        <v>546</v>
      </c>
      <c r="C670" s="375">
        <v>7551885272</v>
      </c>
      <c r="D670" s="398" t="s">
        <v>257</v>
      </c>
      <c r="E670" s="376">
        <v>45964</v>
      </c>
      <c r="F670" s="378" t="s">
        <v>560</v>
      </c>
      <c r="G670" s="378"/>
      <c r="H670" s="378"/>
      <c r="I670" s="376"/>
      <c r="J670" s="376"/>
      <c r="K670" s="379"/>
    </row>
    <row r="671" spans="1:11">
      <c r="A671" s="374">
        <v>669</v>
      </c>
      <c r="B671" s="375" t="s">
        <v>546</v>
      </c>
      <c r="C671" s="375">
        <v>7552127042</v>
      </c>
      <c r="D671" s="398" t="s">
        <v>257</v>
      </c>
      <c r="E671" s="376">
        <v>45964</v>
      </c>
      <c r="F671" s="378" t="s">
        <v>560</v>
      </c>
      <c r="G671" s="378"/>
      <c r="H671" s="378"/>
      <c r="I671" s="376"/>
      <c r="J671" s="376"/>
      <c r="K671" s="379"/>
    </row>
    <row r="672" spans="1:11">
      <c r="A672" s="374">
        <v>670</v>
      </c>
      <c r="B672" s="375" t="s">
        <v>546</v>
      </c>
      <c r="C672" s="375">
        <v>7552715130</v>
      </c>
      <c r="D672" s="398" t="s">
        <v>9</v>
      </c>
      <c r="E672" s="376">
        <v>45964</v>
      </c>
      <c r="F672" s="378" t="s">
        <v>560</v>
      </c>
      <c r="G672" s="378"/>
      <c r="H672" s="378"/>
      <c r="I672" s="376"/>
      <c r="J672" s="376"/>
      <c r="K672" s="379"/>
    </row>
    <row r="673" spans="1:11">
      <c r="A673" s="374">
        <v>671</v>
      </c>
      <c r="B673" s="375" t="s">
        <v>486</v>
      </c>
      <c r="C673" s="375">
        <v>7551885911</v>
      </c>
      <c r="D673" s="398" t="s">
        <v>256</v>
      </c>
      <c r="E673" s="376">
        <v>45971</v>
      </c>
      <c r="F673" s="378" t="s">
        <v>560</v>
      </c>
      <c r="G673" s="378"/>
      <c r="H673" s="378"/>
      <c r="I673" s="376"/>
      <c r="J673" s="376"/>
      <c r="K673" s="379"/>
    </row>
    <row r="674" spans="1:11">
      <c r="A674" s="374">
        <v>672</v>
      </c>
      <c r="B674" s="375" t="s">
        <v>486</v>
      </c>
      <c r="C674" s="375">
        <v>7551885921</v>
      </c>
      <c r="D674" s="398" t="s">
        <v>256</v>
      </c>
      <c r="E674" s="376">
        <v>45971</v>
      </c>
      <c r="F674" s="378" t="s">
        <v>560</v>
      </c>
      <c r="G674" s="378"/>
      <c r="H674" s="378"/>
      <c r="I674" s="376"/>
      <c r="J674" s="376"/>
      <c r="K674" s="379"/>
    </row>
    <row r="675" spans="1:11">
      <c r="A675" s="374">
        <v>673</v>
      </c>
      <c r="B675" s="375" t="s">
        <v>546</v>
      </c>
      <c r="C675" s="375">
        <v>7552132072</v>
      </c>
      <c r="D675" s="398" t="s">
        <v>257</v>
      </c>
      <c r="E675" s="376">
        <v>45971</v>
      </c>
      <c r="F675" s="378" t="s">
        <v>560</v>
      </c>
      <c r="G675" s="378"/>
      <c r="H675" s="378"/>
      <c r="I675" s="376"/>
      <c r="J675" s="376"/>
      <c r="K675" s="379"/>
    </row>
    <row r="676" spans="1:11">
      <c r="A676" s="374">
        <v>674</v>
      </c>
      <c r="B676" s="375" t="s">
        <v>543</v>
      </c>
      <c r="C676" s="375">
        <v>7552735870</v>
      </c>
      <c r="D676" s="398" t="s">
        <v>244</v>
      </c>
      <c r="E676" s="376">
        <v>45971</v>
      </c>
      <c r="F676" s="378" t="s">
        <v>560</v>
      </c>
      <c r="G676" s="378"/>
      <c r="H676" s="378"/>
      <c r="I676" s="376" t="s">
        <v>475</v>
      </c>
      <c r="J676" s="376"/>
      <c r="K676" s="379"/>
    </row>
    <row r="677" spans="1:11">
      <c r="A677" s="374">
        <v>675</v>
      </c>
      <c r="B677" s="375" t="s">
        <v>486</v>
      </c>
      <c r="C677" s="375">
        <v>8978794961</v>
      </c>
      <c r="D677" s="398" t="s">
        <v>256</v>
      </c>
      <c r="E677" s="376">
        <v>45971</v>
      </c>
      <c r="F677" s="378" t="s">
        <v>560</v>
      </c>
      <c r="G677" s="378"/>
      <c r="H677" s="378"/>
      <c r="I677" s="376"/>
      <c r="J677" s="376"/>
      <c r="K677" s="379"/>
    </row>
    <row r="678" spans="1:11">
      <c r="A678" s="374">
        <v>676</v>
      </c>
      <c r="B678" s="375" t="s">
        <v>486</v>
      </c>
      <c r="C678" s="375">
        <v>8978794971</v>
      </c>
      <c r="D678" s="398" t="s">
        <v>256</v>
      </c>
      <c r="E678" s="376">
        <v>45971</v>
      </c>
      <c r="F678" s="378" t="s">
        <v>560</v>
      </c>
      <c r="G678" s="378"/>
      <c r="H678" s="378"/>
      <c r="I678" s="376"/>
      <c r="J678" s="376"/>
      <c r="K678" s="379"/>
    </row>
    <row r="679" spans="1:11">
      <c r="A679" s="374">
        <v>677</v>
      </c>
      <c r="B679" s="375" t="s">
        <v>486</v>
      </c>
      <c r="C679" s="375">
        <v>8978794982</v>
      </c>
      <c r="D679" s="398" t="s">
        <v>256</v>
      </c>
      <c r="E679" s="376">
        <v>45971</v>
      </c>
      <c r="F679" s="378" t="s">
        <v>560</v>
      </c>
      <c r="G679" s="378"/>
      <c r="H679" s="378"/>
      <c r="I679" s="376"/>
      <c r="J679" s="376"/>
      <c r="K679" s="379"/>
    </row>
    <row r="680" spans="1:11">
      <c r="A680" s="374">
        <v>678</v>
      </c>
      <c r="B680" s="375" t="s">
        <v>486</v>
      </c>
      <c r="C680" s="375">
        <v>7551910170</v>
      </c>
      <c r="D680" s="398" t="s">
        <v>245</v>
      </c>
      <c r="E680" s="376">
        <v>45978</v>
      </c>
      <c r="F680" s="378" t="s">
        <v>560</v>
      </c>
      <c r="G680" s="378"/>
      <c r="H680" s="378"/>
      <c r="I680" s="376"/>
      <c r="J680" s="376"/>
      <c r="K680" s="379"/>
    </row>
    <row r="681" spans="1:11">
      <c r="A681" s="374">
        <v>679</v>
      </c>
      <c r="B681" s="375" t="s">
        <v>486</v>
      </c>
      <c r="C681" s="375">
        <v>7552626170</v>
      </c>
      <c r="D681" s="398" t="s">
        <v>256</v>
      </c>
      <c r="E681" s="376">
        <v>45978</v>
      </c>
      <c r="F681" s="378" t="s">
        <v>560</v>
      </c>
      <c r="G681" s="378"/>
      <c r="H681" s="378"/>
      <c r="I681" s="376"/>
      <c r="J681" s="376"/>
      <c r="K681" s="379"/>
    </row>
    <row r="682" spans="1:11">
      <c r="A682" s="374">
        <v>680</v>
      </c>
      <c r="B682" s="375" t="s">
        <v>543</v>
      </c>
      <c r="C682" s="375">
        <v>7552735810</v>
      </c>
      <c r="D682" s="398" t="s">
        <v>237</v>
      </c>
      <c r="E682" s="376">
        <v>45978</v>
      </c>
      <c r="F682" s="378"/>
      <c r="G682" s="378"/>
      <c r="H682" s="378"/>
      <c r="I682" s="376" t="s">
        <v>475</v>
      </c>
      <c r="J682" s="376"/>
      <c r="K682" s="379"/>
    </row>
    <row r="683" spans="1:11">
      <c r="A683" s="374">
        <v>681</v>
      </c>
      <c r="B683" s="375" t="s">
        <v>543</v>
      </c>
      <c r="C683" s="375">
        <v>7552735890</v>
      </c>
      <c r="D683" s="398" t="s">
        <v>244</v>
      </c>
      <c r="E683" s="376">
        <v>45985</v>
      </c>
      <c r="F683" s="378"/>
      <c r="G683" s="378"/>
      <c r="H683" s="378"/>
      <c r="I683" s="376" t="s">
        <v>475</v>
      </c>
      <c r="J683" s="376"/>
      <c r="K683" s="379"/>
    </row>
    <row r="684" spans="1:11">
      <c r="A684" s="374">
        <v>682</v>
      </c>
      <c r="B684" s="375" t="s">
        <v>486</v>
      </c>
      <c r="C684" s="375">
        <v>8978767262</v>
      </c>
      <c r="D684" s="398" t="s">
        <v>245</v>
      </c>
      <c r="E684" s="376">
        <v>45985</v>
      </c>
      <c r="F684" s="378" t="s">
        <v>560</v>
      </c>
      <c r="G684" s="378"/>
      <c r="H684" s="378"/>
      <c r="I684" s="376"/>
      <c r="J684" s="376"/>
      <c r="K684" s="379"/>
    </row>
    <row r="685" spans="1:11">
      <c r="A685" s="374">
        <v>683</v>
      </c>
      <c r="B685" s="375" t="s">
        <v>543</v>
      </c>
      <c r="C685" s="375">
        <v>7552735190</v>
      </c>
      <c r="D685" s="398" t="s">
        <v>237</v>
      </c>
      <c r="E685" s="376">
        <v>45999</v>
      </c>
      <c r="F685" s="378" t="s">
        <v>560</v>
      </c>
      <c r="G685" s="378"/>
      <c r="H685" s="378"/>
      <c r="I685" s="376" t="s">
        <v>475</v>
      </c>
      <c r="J685" s="376"/>
      <c r="K685" s="379"/>
    </row>
    <row r="686" spans="1:11">
      <c r="A686" s="374">
        <v>684</v>
      </c>
      <c r="B686" s="375" t="s">
        <v>486</v>
      </c>
      <c r="C686" s="375">
        <v>7551885322</v>
      </c>
      <c r="D686" s="398" t="s">
        <v>257</v>
      </c>
      <c r="E686" s="376">
        <v>46013</v>
      </c>
      <c r="F686" s="378" t="s">
        <v>560</v>
      </c>
      <c r="G686" s="378"/>
      <c r="H686" s="378"/>
      <c r="I686" s="376"/>
      <c r="J686" s="376"/>
      <c r="K686" s="379"/>
    </row>
    <row r="687" spans="1:11">
      <c r="A687" s="374">
        <v>685</v>
      </c>
      <c r="B687" s="375" t="s">
        <v>546</v>
      </c>
      <c r="C687" s="375">
        <v>7552222921</v>
      </c>
      <c r="D687" s="398" t="s">
        <v>245</v>
      </c>
      <c r="E687" s="376">
        <v>46013</v>
      </c>
      <c r="F687" s="378" t="s">
        <v>560</v>
      </c>
      <c r="G687" s="378"/>
      <c r="H687" s="378"/>
      <c r="I687" s="376"/>
      <c r="J687" s="376"/>
      <c r="K687" s="379"/>
    </row>
  </sheetData>
  <phoneticPr fontId="59"/>
  <conditionalFormatting sqref="A1:K687">
    <cfRule type="expression" dxfId="8" priority="1">
      <formula>$I1&lt;&gt;""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B1:AE42"/>
  <sheetViews>
    <sheetView topLeftCell="A12" zoomScale="145" zoomScaleNormal="145" workbookViewId="0">
      <selection activeCell="I28" sqref="I28"/>
    </sheetView>
  </sheetViews>
  <sheetFormatPr defaultColWidth="6.6640625" defaultRowHeight="13.2"/>
  <cols>
    <col min="1" max="1" width="1.88671875" customWidth="1"/>
    <col min="2" max="2" width="3.44140625" customWidth="1"/>
    <col min="3" max="3" width="9.44140625" style="12" customWidth="1"/>
    <col min="4" max="23" width="6.6640625" style="12" customWidth="1"/>
    <col min="24" max="25" width="6.6640625" style="12"/>
  </cols>
  <sheetData>
    <row r="1" spans="2:31">
      <c r="W1" s="345" t="s">
        <v>47</v>
      </c>
      <c r="X1" s="345"/>
      <c r="Y1" s="345"/>
    </row>
    <row r="2" spans="2:31" ht="19.2">
      <c r="B2" s="16" t="s">
        <v>45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T2" s="17"/>
      <c r="U2" s="17"/>
      <c r="V2" s="17"/>
      <c r="W2" s="33" t="s">
        <v>48</v>
      </c>
      <c r="X2" s="32" t="s">
        <v>50</v>
      </c>
      <c r="Y2" s="32" t="s">
        <v>49</v>
      </c>
      <c r="AB2" s="12" t="s">
        <v>41</v>
      </c>
      <c r="AC2" s="12" t="s">
        <v>77</v>
      </c>
    </row>
    <row r="3" spans="2:31" ht="19.2">
      <c r="D3" s="16"/>
      <c r="E3" s="17"/>
      <c r="F3" s="17" t="s">
        <v>16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7"/>
      <c r="U3" s="17"/>
      <c r="V3" s="17"/>
      <c r="W3" s="347" t="s">
        <v>51</v>
      </c>
      <c r="X3" s="348"/>
      <c r="Y3" s="349" t="s">
        <v>82</v>
      </c>
      <c r="AB3" s="12" t="s">
        <v>43</v>
      </c>
      <c r="AC3" s="12" t="s">
        <v>78</v>
      </c>
    </row>
    <row r="4" spans="2:31" ht="19.2"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7"/>
      <c r="U4" s="17"/>
      <c r="V4" s="17"/>
      <c r="W4" s="347"/>
      <c r="X4" s="348"/>
      <c r="Y4" s="349"/>
    </row>
    <row r="5" spans="2:31" ht="24.75" customHeight="1">
      <c r="C5" t="s">
        <v>44</v>
      </c>
      <c r="D5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  <c r="T5" s="17"/>
      <c r="U5" s="17"/>
      <c r="V5" s="17"/>
      <c r="W5" s="17"/>
    </row>
    <row r="6" spans="2:31">
      <c r="D6" s="342" t="s">
        <v>23</v>
      </c>
      <c r="E6" s="343"/>
      <c r="F6" s="343"/>
      <c r="G6" s="343"/>
      <c r="H6" s="343"/>
      <c r="I6" s="344"/>
      <c r="J6" s="255"/>
      <c r="K6" s="350" t="s">
        <v>24</v>
      </c>
      <c r="L6" s="352"/>
      <c r="M6" s="346" t="s">
        <v>25</v>
      </c>
      <c r="N6" s="346"/>
      <c r="O6" s="346"/>
      <c r="P6" s="350" t="s">
        <v>46</v>
      </c>
      <c r="Q6" s="351"/>
      <c r="R6" s="352"/>
      <c r="S6" s="350" t="s">
        <v>52</v>
      </c>
      <c r="T6" s="351"/>
      <c r="U6" s="352"/>
      <c r="V6" s="31" t="s">
        <v>40</v>
      </c>
      <c r="W6" s="20" t="s">
        <v>18</v>
      </c>
      <c r="X6" s="350" t="s">
        <v>28</v>
      </c>
      <c r="Y6" s="351"/>
      <c r="Z6" s="351"/>
      <c r="AA6" s="351"/>
      <c r="AB6" s="352"/>
    </row>
    <row r="7" spans="2:31" ht="24.75" customHeight="1">
      <c r="D7" s="67" t="s">
        <v>64</v>
      </c>
      <c r="E7" s="67" t="s">
        <v>83</v>
      </c>
      <c r="F7" s="67" t="s">
        <v>62</v>
      </c>
      <c r="G7" s="67" t="s">
        <v>75</v>
      </c>
      <c r="H7" s="67" t="s">
        <v>84</v>
      </c>
      <c r="I7" s="67" t="s">
        <v>76</v>
      </c>
      <c r="J7" s="67" t="s">
        <v>216</v>
      </c>
      <c r="K7" s="67" t="s">
        <v>74</v>
      </c>
      <c r="L7" s="67" t="s">
        <v>117</v>
      </c>
      <c r="M7" s="70" t="s">
        <v>79</v>
      </c>
      <c r="N7" s="67" t="s">
        <v>73</v>
      </c>
      <c r="O7" s="325" t="s">
        <v>407</v>
      </c>
      <c r="P7" s="67" t="s">
        <v>72</v>
      </c>
      <c r="Q7" s="67" t="s">
        <v>71</v>
      </c>
      <c r="R7" s="67" t="s">
        <v>70</v>
      </c>
      <c r="S7" s="67" t="s">
        <v>69</v>
      </c>
      <c r="T7" s="67" t="s">
        <v>211</v>
      </c>
      <c r="U7" s="67" t="s">
        <v>406</v>
      </c>
      <c r="V7" s="67" t="s">
        <v>68</v>
      </c>
      <c r="W7" s="67" t="s">
        <v>67</v>
      </c>
      <c r="X7" s="67" t="s">
        <v>85</v>
      </c>
      <c r="Y7" s="67" t="s">
        <v>65</v>
      </c>
      <c r="Z7" s="68" t="s">
        <v>63</v>
      </c>
      <c r="AA7" s="67" t="s">
        <v>66</v>
      </c>
      <c r="AB7" s="67" t="s">
        <v>82</v>
      </c>
      <c r="AD7" s="12"/>
    </row>
    <row r="8" spans="2:31" ht="24.75" customHeight="1">
      <c r="C8" s="30" t="s">
        <v>27</v>
      </c>
      <c r="D8" s="32" t="s">
        <v>42</v>
      </c>
      <c r="E8" s="66" t="s">
        <v>8</v>
      </c>
      <c r="F8" s="66" t="s">
        <v>8</v>
      </c>
      <c r="G8" s="32" t="s">
        <v>42</v>
      </c>
      <c r="H8" s="71" t="s">
        <v>8</v>
      </c>
      <c r="I8" s="59" t="s">
        <v>8</v>
      </c>
      <c r="J8" s="256" t="s">
        <v>8</v>
      </c>
      <c r="K8" s="66" t="s">
        <v>8</v>
      </c>
      <c r="L8" s="78" t="s">
        <v>42</v>
      </c>
      <c r="M8" s="32" t="s">
        <v>42</v>
      </c>
      <c r="N8" s="69" t="s">
        <v>42</v>
      </c>
      <c r="O8" s="32" t="s">
        <v>42</v>
      </c>
      <c r="P8" s="66" t="s">
        <v>42</v>
      </c>
      <c r="Q8" s="57" t="s">
        <v>42</v>
      </c>
      <c r="R8" s="52" t="s">
        <v>8</v>
      </c>
      <c r="S8" s="62" t="s">
        <v>8</v>
      </c>
      <c r="T8" s="52" t="s">
        <v>42</v>
      </c>
      <c r="U8" s="302" t="s">
        <v>8</v>
      </c>
      <c r="V8" s="57" t="s">
        <v>8</v>
      </c>
      <c r="W8" s="66" t="s">
        <v>42</v>
      </c>
      <c r="X8" s="58" t="s">
        <v>42</v>
      </c>
      <c r="Y8" s="56" t="s">
        <v>42</v>
      </c>
      <c r="Z8" s="56" t="s">
        <v>8</v>
      </c>
      <c r="AA8" s="66" t="s">
        <v>8</v>
      </c>
      <c r="AB8" s="33" t="s">
        <v>8</v>
      </c>
      <c r="AD8" s="12"/>
      <c r="AE8" s="12"/>
    </row>
    <row r="9" spans="2:31" ht="24.75" customHeight="1">
      <c r="C9" s="30" t="s">
        <v>26</v>
      </c>
      <c r="D9" s="32" t="s">
        <v>42</v>
      </c>
      <c r="E9" s="65" t="s">
        <v>8</v>
      </c>
      <c r="F9" s="63" t="s">
        <v>8</v>
      </c>
      <c r="G9" s="32" t="s">
        <v>42</v>
      </c>
      <c r="H9" s="71" t="s">
        <v>42</v>
      </c>
      <c r="I9" s="55" t="s">
        <v>42</v>
      </c>
      <c r="J9" s="256" t="s">
        <v>8</v>
      </c>
      <c r="K9" s="66" t="s">
        <v>8</v>
      </c>
      <c r="L9" s="78" t="s">
        <v>42</v>
      </c>
      <c r="M9" s="60" t="s">
        <v>8</v>
      </c>
      <c r="N9" s="69" t="s">
        <v>8</v>
      </c>
      <c r="O9" s="48" t="s">
        <v>8</v>
      </c>
      <c r="P9" s="32" t="s">
        <v>42</v>
      </c>
      <c r="Q9" s="32" t="s">
        <v>42</v>
      </c>
      <c r="R9" s="51" t="s">
        <v>42</v>
      </c>
      <c r="S9" s="39" t="s">
        <v>42</v>
      </c>
      <c r="T9" s="39" t="s">
        <v>42</v>
      </c>
      <c r="U9" s="302" t="s">
        <v>42</v>
      </c>
      <c r="V9" s="32" t="s">
        <v>42</v>
      </c>
      <c r="W9" s="66" t="s">
        <v>8</v>
      </c>
      <c r="X9" s="64" t="s">
        <v>42</v>
      </c>
      <c r="Y9" s="61" t="s">
        <v>42</v>
      </c>
      <c r="Z9" s="66" t="s">
        <v>8</v>
      </c>
      <c r="AA9" s="66" t="s">
        <v>8</v>
      </c>
      <c r="AB9" s="33" t="s">
        <v>8</v>
      </c>
      <c r="AD9" s="12"/>
      <c r="AE9" s="12"/>
    </row>
    <row r="10" spans="2:31" ht="24.75" customHeight="1">
      <c r="F10"/>
      <c r="G10"/>
      <c r="H10"/>
      <c r="I10" s="17"/>
      <c r="J10" s="17"/>
      <c r="K10" s="17"/>
      <c r="L10" s="17"/>
      <c r="M10" s="17"/>
      <c r="N10" s="17"/>
      <c r="Q10" s="17"/>
      <c r="R10" s="17"/>
      <c r="S10" s="18"/>
      <c r="T10" s="17"/>
      <c r="U10" s="17"/>
      <c r="V10" s="17"/>
      <c r="W10" s="17"/>
    </row>
    <row r="11" spans="2:31" ht="24.75" customHeight="1">
      <c r="D11"/>
      <c r="F11"/>
      <c r="G11"/>
      <c r="H11"/>
      <c r="I11" s="17"/>
      <c r="J11" s="17"/>
      <c r="K11" s="17"/>
      <c r="L11" s="17"/>
      <c r="M11" s="17"/>
      <c r="Q11" s="17"/>
      <c r="R11" s="17"/>
      <c r="S11" s="18"/>
      <c r="T11" s="17"/>
      <c r="U11" s="17"/>
      <c r="V11" s="17"/>
      <c r="W11" s="17"/>
    </row>
    <row r="12" spans="2:31" ht="16.2">
      <c r="C12" s="19" t="s">
        <v>17</v>
      </c>
    </row>
    <row r="18" spans="2:4" ht="11.25" customHeight="1"/>
    <row r="19" spans="2:4">
      <c r="B19">
        <v>1</v>
      </c>
    </row>
    <row r="20" spans="2:4">
      <c r="B20">
        <v>2</v>
      </c>
    </row>
    <row r="21" spans="2:4">
      <c r="B21">
        <v>3</v>
      </c>
    </row>
    <row r="22" spans="2:4">
      <c r="B22">
        <v>4</v>
      </c>
    </row>
    <row r="23" spans="2:4">
      <c r="B23">
        <v>5</v>
      </c>
    </row>
    <row r="25" spans="2:4" ht="18">
      <c r="C25" s="77" t="s">
        <v>450</v>
      </c>
    </row>
    <row r="26" spans="2:4" ht="18">
      <c r="C26" s="76" t="s">
        <v>449</v>
      </c>
    </row>
    <row r="27" spans="2:4" ht="18">
      <c r="C27" s="77" t="s">
        <v>448</v>
      </c>
    </row>
    <row r="28" spans="2:4" ht="18">
      <c r="C28" s="76" t="s">
        <v>451</v>
      </c>
    </row>
    <row r="29" spans="2:4" ht="18">
      <c r="D29" s="76"/>
    </row>
    <row r="30" spans="2:4" ht="18">
      <c r="D30" s="76"/>
    </row>
    <row r="31" spans="2:4" ht="18">
      <c r="C31" s="76"/>
      <c r="D31" s="76"/>
    </row>
    <row r="32" spans="2:4" ht="18">
      <c r="C32" s="76"/>
      <c r="D32" s="77"/>
    </row>
    <row r="33" spans="3:4" ht="18">
      <c r="C33" s="76"/>
      <c r="D33" s="76"/>
    </row>
    <row r="34" spans="3:4" ht="18">
      <c r="C34" s="76"/>
      <c r="D34" s="76"/>
    </row>
    <row r="35" spans="3:4" ht="18">
      <c r="C35" s="76"/>
      <c r="D35" s="76"/>
    </row>
    <row r="36" spans="3:4" ht="18">
      <c r="C36" s="76"/>
    </row>
    <row r="37" spans="3:4" ht="18">
      <c r="C37" s="76"/>
    </row>
    <row r="38" spans="3:4" ht="18">
      <c r="C38" s="76"/>
    </row>
    <row r="39" spans="3:4" ht="18">
      <c r="C39" s="76"/>
    </row>
    <row r="40" spans="3:4" ht="18">
      <c r="C40" s="76"/>
    </row>
    <row r="41" spans="3:4" ht="18">
      <c r="C41" s="76"/>
    </row>
    <row r="42" spans="3:4" ht="18">
      <c r="C42" s="76"/>
    </row>
  </sheetData>
  <mergeCells count="10">
    <mergeCell ref="D6:I6"/>
    <mergeCell ref="W1:Y1"/>
    <mergeCell ref="M6:O6"/>
    <mergeCell ref="W3:W4"/>
    <mergeCell ref="X3:X4"/>
    <mergeCell ref="Y3:Y4"/>
    <mergeCell ref="P6:R6"/>
    <mergeCell ref="X6:AB6"/>
    <mergeCell ref="K6:L6"/>
    <mergeCell ref="S6:U6"/>
  </mergeCells>
  <phoneticPr fontId="59"/>
  <conditionalFormatting sqref="D8:AB9">
    <cfRule type="cellIs" dxfId="7" priority="1" operator="equal">
      <formula>"―"</formula>
    </cfRule>
    <cfRule type="cellIs" dxfId="6" priority="2" operator="equal">
      <formula>"○"</formula>
    </cfRule>
  </conditionalFormatting>
  <dataValidations count="1">
    <dataValidation type="list" allowBlank="1" showInputMessage="1" showErrorMessage="1" sqref="D8:AB9" xr:uid="{00000000-0002-0000-0100-000000000000}">
      <formula1>$AB$2:$AB$3</formula1>
    </dataValidation>
  </dataValidations>
  <pageMargins left="3.937007874015748E-2" right="3.937007874015748E-2" top="0.74803149606299213" bottom="0.74803149606299213" header="0.31496062992125984" footer="0.31496062992125984"/>
  <pageSetup paperSize="9" scale="66" fitToHeight="0" orientation="landscape" r:id="rId1"/>
  <headerFooter alignWithMargins="0">
    <oddFooter>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32"/>
  <sheetViews>
    <sheetView zoomScale="85" zoomScaleNormal="85" workbookViewId="0">
      <selection activeCell="I15" sqref="I15"/>
    </sheetView>
  </sheetViews>
  <sheetFormatPr defaultColWidth="8.88671875" defaultRowHeight="17.399999999999999"/>
  <cols>
    <col min="1" max="1" width="8.88671875" style="326"/>
    <col min="2" max="2" width="8.21875" style="326" bestFit="1" customWidth="1"/>
    <col min="3" max="3" width="14.44140625" style="326" bestFit="1" customWidth="1"/>
    <col min="4" max="4" width="22.44140625" style="326" bestFit="1" customWidth="1"/>
    <col min="5" max="5" width="10.44140625" style="326" bestFit="1" customWidth="1"/>
    <col min="6" max="6" width="16.77734375" style="326" bestFit="1" customWidth="1"/>
    <col min="7" max="7" width="72.21875" style="326" bestFit="1" customWidth="1"/>
    <col min="8" max="8" width="8.21875" style="326" bestFit="1" customWidth="1"/>
    <col min="9" max="9" width="9.44140625" style="326" bestFit="1" customWidth="1"/>
    <col min="10" max="10" width="10.21875" style="326" bestFit="1" customWidth="1"/>
    <col min="11" max="11" width="12.44140625" style="326" bestFit="1" customWidth="1"/>
    <col min="12" max="12" width="10.21875" style="326" customWidth="1"/>
    <col min="13" max="24" width="6.88671875" style="326" bestFit="1" customWidth="1"/>
    <col min="25" max="25" width="8.21875" style="326" bestFit="1" customWidth="1"/>
    <col min="26" max="16384" width="8.88671875" style="326"/>
  </cols>
  <sheetData>
    <row r="1" spans="1:25">
      <c r="A1" s="326" t="s">
        <v>22</v>
      </c>
      <c r="B1" s="327" t="s">
        <v>1</v>
      </c>
      <c r="C1" s="327" t="s">
        <v>20</v>
      </c>
      <c r="D1" s="327" t="s">
        <v>53</v>
      </c>
      <c r="E1" s="327" t="s">
        <v>54</v>
      </c>
      <c r="F1" s="327" t="s">
        <v>15</v>
      </c>
      <c r="G1" s="327" t="s">
        <v>56</v>
      </c>
      <c r="H1" s="327" t="s">
        <v>2</v>
      </c>
      <c r="I1" s="327" t="s">
        <v>3</v>
      </c>
      <c r="J1" s="327" t="s">
        <v>4</v>
      </c>
      <c r="K1" s="327" t="s">
        <v>57</v>
      </c>
      <c r="L1" s="327" t="s">
        <v>58</v>
      </c>
      <c r="M1" s="327" t="s">
        <v>357</v>
      </c>
      <c r="N1" s="327" t="s">
        <v>358</v>
      </c>
      <c r="O1" s="327" t="s">
        <v>360</v>
      </c>
      <c r="P1" s="327" t="s">
        <v>361</v>
      </c>
      <c r="Q1" s="327" t="s">
        <v>362</v>
      </c>
      <c r="R1" s="327" t="s">
        <v>409</v>
      </c>
      <c r="S1" s="327" t="s">
        <v>410</v>
      </c>
      <c r="T1" s="327" t="s">
        <v>411</v>
      </c>
      <c r="U1" s="327" t="s">
        <v>412</v>
      </c>
      <c r="V1" s="327" t="s">
        <v>413</v>
      </c>
      <c r="W1" s="327" t="s">
        <v>414</v>
      </c>
      <c r="X1" s="327" t="s">
        <v>415</v>
      </c>
      <c r="Y1" s="327" t="s">
        <v>5</v>
      </c>
    </row>
    <row r="2" spans="1:25">
      <c r="A2" s="326">
        <v>1</v>
      </c>
      <c r="B2" s="326" t="s">
        <v>94</v>
      </c>
      <c r="C2" s="326">
        <v>7552222861</v>
      </c>
      <c r="D2" s="326" t="s">
        <v>91</v>
      </c>
      <c r="E2" s="326" t="s">
        <v>92</v>
      </c>
      <c r="F2" s="326" t="s">
        <v>97</v>
      </c>
      <c r="G2" s="326" t="s">
        <v>416</v>
      </c>
      <c r="H2" s="326" t="s">
        <v>1</v>
      </c>
      <c r="I2" s="326" t="s">
        <v>417</v>
      </c>
      <c r="J2" s="328" t="s">
        <v>7</v>
      </c>
      <c r="K2" s="329">
        <v>45961</v>
      </c>
      <c r="L2" s="328">
        <v>3</v>
      </c>
      <c r="Q2" s="330">
        <v>3</v>
      </c>
      <c r="Y2" s="326">
        <v>3</v>
      </c>
    </row>
    <row r="3" spans="1:25">
      <c r="A3" s="326">
        <v>2</v>
      </c>
      <c r="B3" s="326" t="s">
        <v>90</v>
      </c>
      <c r="C3" s="326">
        <v>8978408070</v>
      </c>
      <c r="D3" s="326" t="s">
        <v>91</v>
      </c>
      <c r="E3" s="326" t="s">
        <v>106</v>
      </c>
      <c r="F3" s="326" t="s">
        <v>418</v>
      </c>
      <c r="G3" s="326" t="s">
        <v>292</v>
      </c>
      <c r="H3" s="326" t="s">
        <v>1</v>
      </c>
      <c r="I3" s="326" t="s">
        <v>419</v>
      </c>
      <c r="J3" s="328" t="s">
        <v>7</v>
      </c>
      <c r="K3" s="329">
        <v>45962</v>
      </c>
      <c r="L3" s="328">
        <v>2</v>
      </c>
      <c r="R3" s="330">
        <v>2</v>
      </c>
      <c r="T3" s="326">
        <v>1</v>
      </c>
      <c r="Y3" s="326">
        <v>3</v>
      </c>
    </row>
    <row r="4" spans="1:25">
      <c r="A4" s="326">
        <v>3</v>
      </c>
      <c r="B4" s="326" t="s">
        <v>94</v>
      </c>
      <c r="C4" s="326">
        <v>7552714200</v>
      </c>
      <c r="D4" s="326" t="s">
        <v>91</v>
      </c>
      <c r="E4" s="326" t="s">
        <v>420</v>
      </c>
      <c r="F4" s="326" t="s">
        <v>421</v>
      </c>
      <c r="G4" s="326" t="s">
        <v>267</v>
      </c>
      <c r="H4" s="326" t="s">
        <v>1</v>
      </c>
      <c r="I4" s="326" t="s">
        <v>93</v>
      </c>
      <c r="J4" s="328" t="s">
        <v>7</v>
      </c>
      <c r="K4" s="329">
        <v>45964</v>
      </c>
      <c r="L4" s="328">
        <v>1</v>
      </c>
      <c r="S4" s="330">
        <v>1</v>
      </c>
      <c r="Y4" s="326">
        <v>1</v>
      </c>
    </row>
    <row r="5" spans="1:25">
      <c r="A5" s="326">
        <v>4</v>
      </c>
      <c r="B5" s="326" t="s">
        <v>94</v>
      </c>
      <c r="C5" s="326">
        <v>7552222851</v>
      </c>
      <c r="D5" s="326" t="s">
        <v>91</v>
      </c>
      <c r="E5" s="326" t="s">
        <v>92</v>
      </c>
      <c r="F5" s="326" t="s">
        <v>97</v>
      </c>
      <c r="G5" s="326" t="s">
        <v>416</v>
      </c>
      <c r="H5" s="326" t="s">
        <v>1</v>
      </c>
      <c r="I5" s="326" t="s">
        <v>93</v>
      </c>
      <c r="J5" s="328" t="s">
        <v>7</v>
      </c>
      <c r="K5" s="329">
        <v>45965</v>
      </c>
      <c r="L5" s="328">
        <v>2</v>
      </c>
      <c r="T5" s="330">
        <v>2</v>
      </c>
      <c r="Y5" s="326">
        <v>2</v>
      </c>
    </row>
    <row r="6" spans="1:25">
      <c r="A6" s="326">
        <v>5</v>
      </c>
      <c r="B6" s="326" t="s">
        <v>94</v>
      </c>
      <c r="C6" s="326">
        <v>8978820134</v>
      </c>
      <c r="D6" s="326" t="s">
        <v>91</v>
      </c>
      <c r="E6" s="326" t="s">
        <v>420</v>
      </c>
      <c r="F6" s="326" t="s">
        <v>422</v>
      </c>
      <c r="G6" s="326" t="s">
        <v>423</v>
      </c>
      <c r="H6" s="326" t="s">
        <v>1</v>
      </c>
      <c r="I6" s="326" t="s">
        <v>424</v>
      </c>
      <c r="J6" s="328" t="s">
        <v>7</v>
      </c>
      <c r="K6" s="329">
        <v>45965</v>
      </c>
      <c r="L6" s="328">
        <v>1</v>
      </c>
      <c r="T6" s="330">
        <v>1</v>
      </c>
      <c r="U6" s="326">
        <v>1</v>
      </c>
      <c r="Y6" s="326">
        <v>2</v>
      </c>
    </row>
    <row r="7" spans="1:25">
      <c r="A7" s="326">
        <v>6</v>
      </c>
      <c r="B7" s="326" t="s">
        <v>94</v>
      </c>
      <c r="C7" s="326">
        <v>7552703000</v>
      </c>
      <c r="D7" s="326" t="s">
        <v>91</v>
      </c>
      <c r="E7" s="326" t="s">
        <v>110</v>
      </c>
      <c r="F7" s="326" t="s">
        <v>111</v>
      </c>
      <c r="G7" s="326" t="s">
        <v>226</v>
      </c>
      <c r="H7" s="326" t="s">
        <v>425</v>
      </c>
      <c r="I7" s="326" t="s">
        <v>93</v>
      </c>
      <c r="J7" s="328" t="s">
        <v>7</v>
      </c>
      <c r="K7" s="329">
        <v>45965</v>
      </c>
      <c r="L7" s="328">
        <v>6</v>
      </c>
      <c r="T7" s="330">
        <v>6</v>
      </c>
      <c r="Y7" s="326">
        <v>6</v>
      </c>
    </row>
    <row r="8" spans="1:25">
      <c r="A8" s="326">
        <v>7</v>
      </c>
      <c r="B8" s="326" t="s">
        <v>94</v>
      </c>
      <c r="C8" s="326">
        <v>7552127033</v>
      </c>
      <c r="D8" s="326" t="s">
        <v>91</v>
      </c>
      <c r="E8" s="326" t="s">
        <v>92</v>
      </c>
      <c r="F8" s="326" t="s">
        <v>96</v>
      </c>
      <c r="G8" s="326" t="s">
        <v>273</v>
      </c>
      <c r="H8" s="326" t="s">
        <v>1</v>
      </c>
      <c r="I8" s="326" t="s">
        <v>426</v>
      </c>
      <c r="J8" s="328" t="s">
        <v>7</v>
      </c>
      <c r="K8" s="329">
        <v>45966</v>
      </c>
      <c r="L8" s="328">
        <v>1</v>
      </c>
      <c r="U8" s="330">
        <v>1</v>
      </c>
      <c r="Y8" s="326">
        <v>1</v>
      </c>
    </row>
    <row r="9" spans="1:25">
      <c r="A9" s="326">
        <v>8</v>
      </c>
      <c r="B9" s="326" t="s">
        <v>94</v>
      </c>
      <c r="C9" s="326">
        <v>7552222871</v>
      </c>
      <c r="D9" s="326" t="s">
        <v>91</v>
      </c>
      <c r="E9" s="326" t="s">
        <v>92</v>
      </c>
      <c r="F9" s="326" t="s">
        <v>97</v>
      </c>
      <c r="G9" s="326" t="s">
        <v>416</v>
      </c>
      <c r="H9" s="326" t="s">
        <v>1</v>
      </c>
      <c r="I9" s="326" t="s">
        <v>427</v>
      </c>
      <c r="J9" s="328" t="s">
        <v>7</v>
      </c>
      <c r="K9" s="329">
        <v>45967</v>
      </c>
      <c r="L9" s="328">
        <v>2</v>
      </c>
      <c r="V9" s="330">
        <v>2</v>
      </c>
      <c r="Y9" s="326">
        <v>2</v>
      </c>
    </row>
    <row r="10" spans="1:25">
      <c r="A10" s="331">
        <v>9</v>
      </c>
      <c r="B10" s="331">
        <v>115</v>
      </c>
      <c r="C10" s="331">
        <v>7552998370</v>
      </c>
      <c r="D10" s="331" t="s">
        <v>91</v>
      </c>
      <c r="E10" s="331" t="s">
        <v>118</v>
      </c>
      <c r="F10" s="331" t="s">
        <v>428</v>
      </c>
      <c r="G10" s="331" t="s">
        <v>288</v>
      </c>
      <c r="H10" s="331" t="s">
        <v>425</v>
      </c>
      <c r="I10" s="331" t="s">
        <v>93</v>
      </c>
      <c r="J10" s="332" t="s">
        <v>7</v>
      </c>
      <c r="K10" s="333">
        <v>45961</v>
      </c>
      <c r="L10" s="332">
        <v>1</v>
      </c>
      <c r="Q10" s="330">
        <v>1</v>
      </c>
      <c r="Y10" s="326">
        <v>1</v>
      </c>
    </row>
    <row r="11" spans="1:25">
      <c r="A11" s="331">
        <v>10</v>
      </c>
      <c r="B11" s="331">
        <v>115</v>
      </c>
      <c r="C11" s="331">
        <v>7552998380</v>
      </c>
      <c r="D11" s="331" t="s">
        <v>91</v>
      </c>
      <c r="E11" s="331" t="s">
        <v>118</v>
      </c>
      <c r="F11" s="331" t="s">
        <v>428</v>
      </c>
      <c r="G11" s="331" t="s">
        <v>288</v>
      </c>
      <c r="H11" s="331" t="s">
        <v>425</v>
      </c>
      <c r="I11" s="331" t="s">
        <v>93</v>
      </c>
      <c r="J11" s="332" t="s">
        <v>7</v>
      </c>
      <c r="K11" s="333">
        <v>45961</v>
      </c>
      <c r="L11" s="332">
        <v>1</v>
      </c>
      <c r="Q11" s="330">
        <v>1</v>
      </c>
      <c r="Y11" s="326">
        <v>1</v>
      </c>
    </row>
    <row r="12" spans="1:25">
      <c r="A12" s="331">
        <v>11</v>
      </c>
      <c r="B12" s="331" t="s">
        <v>90</v>
      </c>
      <c r="C12" s="331">
        <v>7552472860</v>
      </c>
      <c r="D12" s="331" t="s">
        <v>91</v>
      </c>
      <c r="E12" s="331" t="s">
        <v>118</v>
      </c>
      <c r="F12" s="331" t="s">
        <v>335</v>
      </c>
      <c r="G12" s="331" t="s">
        <v>288</v>
      </c>
      <c r="H12" s="331" t="s">
        <v>425</v>
      </c>
      <c r="I12" s="331" t="s">
        <v>93</v>
      </c>
      <c r="J12" s="332" t="s">
        <v>7</v>
      </c>
      <c r="K12" s="333">
        <v>45961</v>
      </c>
      <c r="L12" s="332">
        <v>1</v>
      </c>
      <c r="Q12" s="330">
        <v>1</v>
      </c>
      <c r="Y12" s="326">
        <v>1</v>
      </c>
    </row>
    <row r="13" spans="1:25">
      <c r="A13" s="331">
        <v>12</v>
      </c>
      <c r="B13" s="331" t="s">
        <v>90</v>
      </c>
      <c r="C13" s="331">
        <v>7552472980</v>
      </c>
      <c r="D13" s="331" t="s">
        <v>91</v>
      </c>
      <c r="E13" s="331" t="s">
        <v>118</v>
      </c>
      <c r="F13" s="331" t="s">
        <v>335</v>
      </c>
      <c r="G13" s="331" t="s">
        <v>288</v>
      </c>
      <c r="H13" s="331" t="s">
        <v>425</v>
      </c>
      <c r="I13" s="331" t="s">
        <v>93</v>
      </c>
      <c r="J13" s="332" t="s">
        <v>7</v>
      </c>
      <c r="K13" s="333">
        <v>45961</v>
      </c>
      <c r="L13" s="332">
        <v>1</v>
      </c>
      <c r="Q13" s="330">
        <v>1</v>
      </c>
      <c r="Y13" s="326">
        <v>1</v>
      </c>
    </row>
    <row r="14" spans="1:25">
      <c r="A14" s="331">
        <v>13</v>
      </c>
      <c r="B14" s="331" t="s">
        <v>90</v>
      </c>
      <c r="C14" s="331">
        <v>7552943260</v>
      </c>
      <c r="D14" s="331" t="s">
        <v>91</v>
      </c>
      <c r="E14" s="331" t="s">
        <v>118</v>
      </c>
      <c r="F14" s="331" t="s">
        <v>121</v>
      </c>
      <c r="G14" s="331" t="s">
        <v>288</v>
      </c>
      <c r="H14" s="331" t="s">
        <v>425</v>
      </c>
      <c r="I14" s="331" t="s">
        <v>429</v>
      </c>
      <c r="J14" s="332" t="s">
        <v>7</v>
      </c>
      <c r="K14" s="333">
        <v>45961</v>
      </c>
      <c r="L14" s="332">
        <v>1</v>
      </c>
      <c r="Q14" s="330">
        <v>1</v>
      </c>
      <c r="Y14" s="326">
        <v>1</v>
      </c>
    </row>
    <row r="15" spans="1:25">
      <c r="A15" s="326">
        <v>14</v>
      </c>
      <c r="B15" s="326" t="s">
        <v>94</v>
      </c>
      <c r="C15" s="326">
        <v>7552043232</v>
      </c>
      <c r="D15" s="326" t="s">
        <v>91</v>
      </c>
      <c r="E15" s="326" t="s">
        <v>92</v>
      </c>
      <c r="F15" s="326" t="s">
        <v>96</v>
      </c>
      <c r="G15" s="326" t="s">
        <v>19</v>
      </c>
      <c r="H15" s="326" t="s">
        <v>1</v>
      </c>
      <c r="I15" s="326" t="s">
        <v>430</v>
      </c>
      <c r="J15" s="328" t="s">
        <v>21</v>
      </c>
      <c r="K15" s="329">
        <v>45961</v>
      </c>
      <c r="L15" s="328">
        <v>4</v>
      </c>
      <c r="Q15" s="330">
        <v>4</v>
      </c>
      <c r="T15" s="326">
        <v>4</v>
      </c>
      <c r="U15" s="326">
        <v>4</v>
      </c>
      <c r="Y15" s="326">
        <v>12</v>
      </c>
    </row>
    <row r="16" spans="1:25">
      <c r="A16" s="326">
        <v>15</v>
      </c>
      <c r="B16" s="326" t="s">
        <v>94</v>
      </c>
      <c r="C16" s="326">
        <v>8977943522</v>
      </c>
      <c r="D16" s="326" t="s">
        <v>91</v>
      </c>
      <c r="E16" s="326" t="s">
        <v>92</v>
      </c>
      <c r="F16" s="326" t="s">
        <v>97</v>
      </c>
      <c r="G16" s="326" t="s">
        <v>19</v>
      </c>
      <c r="H16" s="326" t="s">
        <v>1</v>
      </c>
      <c r="I16" s="326" t="s">
        <v>431</v>
      </c>
      <c r="J16" s="328" t="s">
        <v>21</v>
      </c>
      <c r="K16" s="329">
        <v>45961</v>
      </c>
      <c r="L16" s="328">
        <v>1</v>
      </c>
      <c r="Q16" s="330">
        <v>1</v>
      </c>
      <c r="Y16" s="326">
        <v>1</v>
      </c>
    </row>
    <row r="17" spans="1:25">
      <c r="A17" s="326">
        <v>16</v>
      </c>
      <c r="B17" s="326" t="s">
        <v>90</v>
      </c>
      <c r="C17" s="326">
        <v>8978431090</v>
      </c>
      <c r="D17" s="326" t="s">
        <v>91</v>
      </c>
      <c r="E17" s="326" t="s">
        <v>106</v>
      </c>
      <c r="F17" s="326" t="s">
        <v>376</v>
      </c>
      <c r="G17" s="326" t="s">
        <v>19</v>
      </c>
      <c r="H17" s="326" t="s">
        <v>1</v>
      </c>
      <c r="I17" s="326" t="s">
        <v>432</v>
      </c>
      <c r="J17" s="328" t="s">
        <v>21</v>
      </c>
      <c r="K17" s="329">
        <v>45961</v>
      </c>
      <c r="L17" s="328">
        <v>1</v>
      </c>
      <c r="Q17" s="330">
        <v>1</v>
      </c>
      <c r="S17" s="326">
        <v>1</v>
      </c>
      <c r="T17" s="326">
        <v>1</v>
      </c>
      <c r="V17" s="326">
        <v>2</v>
      </c>
      <c r="W17" s="326">
        <v>2</v>
      </c>
      <c r="Y17" s="326">
        <v>7</v>
      </c>
    </row>
    <row r="18" spans="1:25">
      <c r="A18" s="326">
        <v>17</v>
      </c>
      <c r="B18" s="326" t="s">
        <v>94</v>
      </c>
      <c r="C18" s="326">
        <v>8975159601</v>
      </c>
      <c r="D18" s="326" t="s">
        <v>91</v>
      </c>
      <c r="E18" s="326" t="s">
        <v>98</v>
      </c>
      <c r="F18" s="326" t="s">
        <v>107</v>
      </c>
      <c r="G18" s="326" t="s">
        <v>19</v>
      </c>
      <c r="H18" s="326" t="s">
        <v>1</v>
      </c>
      <c r="I18" s="326" t="s">
        <v>433</v>
      </c>
      <c r="J18" s="328" t="s">
        <v>21</v>
      </c>
      <c r="K18" s="329">
        <v>45962</v>
      </c>
      <c r="L18" s="328">
        <v>1</v>
      </c>
      <c r="R18" s="330">
        <v>1</v>
      </c>
      <c r="Y18" s="326">
        <v>1</v>
      </c>
    </row>
    <row r="19" spans="1:25">
      <c r="A19" s="326">
        <v>18</v>
      </c>
      <c r="B19" s="326" t="s">
        <v>224</v>
      </c>
      <c r="C19" s="326">
        <v>8976723191</v>
      </c>
      <c r="D19" s="326" t="s">
        <v>91</v>
      </c>
      <c r="E19" s="326" t="s">
        <v>106</v>
      </c>
      <c r="F19" s="326" t="s">
        <v>223</v>
      </c>
      <c r="G19" s="326" t="s">
        <v>19</v>
      </c>
      <c r="H19" s="326" t="s">
        <v>1</v>
      </c>
      <c r="I19" s="326" t="s">
        <v>434</v>
      </c>
      <c r="J19" s="328" t="s">
        <v>21</v>
      </c>
      <c r="K19" s="329">
        <v>45962</v>
      </c>
      <c r="L19" s="328">
        <v>2</v>
      </c>
      <c r="R19" s="330">
        <v>2</v>
      </c>
      <c r="Y19" s="326">
        <v>2</v>
      </c>
    </row>
    <row r="20" spans="1:25">
      <c r="A20" s="326">
        <v>19</v>
      </c>
      <c r="B20" s="326" t="s">
        <v>90</v>
      </c>
      <c r="C20" s="326">
        <v>7551960820</v>
      </c>
      <c r="D20" s="326" t="s">
        <v>91</v>
      </c>
      <c r="E20" s="326" t="s">
        <v>369</v>
      </c>
      <c r="F20" s="326" t="s">
        <v>370</v>
      </c>
      <c r="G20" s="326" t="s">
        <v>19</v>
      </c>
      <c r="H20" s="326" t="s">
        <v>1</v>
      </c>
      <c r="I20" s="326" t="s">
        <v>435</v>
      </c>
      <c r="J20" s="328" t="s">
        <v>21</v>
      </c>
      <c r="K20" s="329">
        <v>45962</v>
      </c>
      <c r="L20" s="328">
        <v>1</v>
      </c>
      <c r="R20" s="330">
        <v>1</v>
      </c>
      <c r="Y20" s="326">
        <v>1</v>
      </c>
    </row>
    <row r="21" spans="1:25">
      <c r="A21" s="326">
        <v>20</v>
      </c>
      <c r="B21" s="326" t="s">
        <v>90</v>
      </c>
      <c r="C21" s="326">
        <v>8976682221</v>
      </c>
      <c r="D21" s="326" t="s">
        <v>91</v>
      </c>
      <c r="E21" s="326" t="s">
        <v>436</v>
      </c>
      <c r="F21" s="326" t="s">
        <v>437</v>
      </c>
      <c r="G21" s="326" t="s">
        <v>19</v>
      </c>
      <c r="H21" s="326" t="s">
        <v>1</v>
      </c>
      <c r="I21" s="326" t="s">
        <v>438</v>
      </c>
      <c r="J21" s="328" t="s">
        <v>21</v>
      </c>
      <c r="K21" s="329">
        <v>45962</v>
      </c>
      <c r="L21" s="328">
        <v>1</v>
      </c>
      <c r="R21" s="330">
        <v>1</v>
      </c>
      <c r="T21" s="326">
        <v>1</v>
      </c>
      <c r="U21" s="326">
        <v>1</v>
      </c>
      <c r="Y21" s="326">
        <v>3</v>
      </c>
    </row>
    <row r="22" spans="1:25">
      <c r="A22" s="326">
        <v>21</v>
      </c>
      <c r="B22" s="326" t="s">
        <v>94</v>
      </c>
      <c r="C22" s="326">
        <v>8977943244</v>
      </c>
      <c r="D22" s="326" t="s">
        <v>91</v>
      </c>
      <c r="E22" s="326" t="s">
        <v>92</v>
      </c>
      <c r="F22" s="326" t="s">
        <v>97</v>
      </c>
      <c r="G22" s="326" t="s">
        <v>19</v>
      </c>
      <c r="H22" s="326" t="s">
        <v>1</v>
      </c>
      <c r="I22" s="326" t="s">
        <v>367</v>
      </c>
      <c r="J22" s="328" t="s">
        <v>21</v>
      </c>
      <c r="K22" s="329">
        <v>45965</v>
      </c>
      <c r="L22" s="328">
        <v>1</v>
      </c>
      <c r="T22" s="330">
        <v>1</v>
      </c>
      <c r="Y22" s="326">
        <v>1</v>
      </c>
    </row>
    <row r="23" spans="1:25">
      <c r="A23" s="326">
        <v>22</v>
      </c>
      <c r="B23" s="326" t="s">
        <v>94</v>
      </c>
      <c r="C23" s="326">
        <v>8978794713</v>
      </c>
      <c r="D23" s="326" t="s">
        <v>91</v>
      </c>
      <c r="E23" s="326" t="s">
        <v>92</v>
      </c>
      <c r="F23" s="326" t="s">
        <v>96</v>
      </c>
      <c r="G23" s="326" t="s">
        <v>19</v>
      </c>
      <c r="H23" s="326" t="s">
        <v>1</v>
      </c>
      <c r="I23" s="326" t="s">
        <v>439</v>
      </c>
      <c r="J23" s="328" t="s">
        <v>21</v>
      </c>
      <c r="K23" s="329">
        <v>45965</v>
      </c>
      <c r="L23" s="328">
        <v>1</v>
      </c>
      <c r="T23" s="330">
        <v>1</v>
      </c>
      <c r="U23" s="326">
        <v>1</v>
      </c>
      <c r="V23" s="326">
        <v>1</v>
      </c>
      <c r="Y23" s="326">
        <v>3</v>
      </c>
    </row>
    <row r="24" spans="1:25">
      <c r="A24" s="326">
        <v>23</v>
      </c>
      <c r="B24" s="326" t="s">
        <v>90</v>
      </c>
      <c r="C24" s="326">
        <v>8974996990</v>
      </c>
      <c r="D24" s="326" t="s">
        <v>91</v>
      </c>
      <c r="E24" s="326" t="s">
        <v>98</v>
      </c>
      <c r="F24" s="326" t="s">
        <v>107</v>
      </c>
      <c r="G24" s="326" t="s">
        <v>19</v>
      </c>
      <c r="H24" s="326" t="s">
        <v>1</v>
      </c>
      <c r="I24" s="326" t="s">
        <v>373</v>
      </c>
      <c r="J24" s="328" t="s">
        <v>21</v>
      </c>
      <c r="K24" s="329">
        <v>45965</v>
      </c>
      <c r="L24" s="328">
        <v>1</v>
      </c>
      <c r="T24" s="330">
        <v>1</v>
      </c>
      <c r="Y24" s="326">
        <v>1</v>
      </c>
    </row>
    <row r="25" spans="1:25">
      <c r="A25" s="326">
        <v>24</v>
      </c>
      <c r="B25" s="326" t="s">
        <v>94</v>
      </c>
      <c r="C25" s="326">
        <v>7552043212</v>
      </c>
      <c r="D25" s="326" t="s">
        <v>91</v>
      </c>
      <c r="E25" s="326" t="s">
        <v>92</v>
      </c>
      <c r="F25" s="326" t="s">
        <v>96</v>
      </c>
      <c r="G25" s="326" t="s">
        <v>19</v>
      </c>
      <c r="H25" s="326" t="s">
        <v>1</v>
      </c>
      <c r="I25" s="326" t="s">
        <v>440</v>
      </c>
      <c r="J25" s="328" t="s">
        <v>21</v>
      </c>
      <c r="K25" s="329">
        <v>45966</v>
      </c>
      <c r="L25" s="328">
        <v>1</v>
      </c>
      <c r="U25" s="330">
        <v>1</v>
      </c>
      <c r="Y25" s="326">
        <v>1</v>
      </c>
    </row>
    <row r="26" spans="1:25">
      <c r="A26" s="326">
        <v>25</v>
      </c>
      <c r="B26" s="326" t="s">
        <v>90</v>
      </c>
      <c r="C26" s="326">
        <v>8974997000</v>
      </c>
      <c r="D26" s="326" t="s">
        <v>91</v>
      </c>
      <c r="E26" s="326" t="s">
        <v>98</v>
      </c>
      <c r="F26" s="326" t="s">
        <v>107</v>
      </c>
      <c r="G26" s="326" t="s">
        <v>19</v>
      </c>
      <c r="H26" s="326" t="s">
        <v>1</v>
      </c>
      <c r="I26" s="326" t="s">
        <v>374</v>
      </c>
      <c r="J26" s="328" t="s">
        <v>21</v>
      </c>
      <c r="K26" s="329">
        <v>45966</v>
      </c>
      <c r="L26" s="328">
        <v>1</v>
      </c>
      <c r="U26" s="330">
        <v>1</v>
      </c>
      <c r="Y26" s="326">
        <v>1</v>
      </c>
    </row>
    <row r="27" spans="1:25">
      <c r="A27" s="326">
        <v>26</v>
      </c>
      <c r="B27" s="326" t="s">
        <v>90</v>
      </c>
      <c r="C27" s="326">
        <v>8976674360</v>
      </c>
      <c r="D27" s="326" t="s">
        <v>91</v>
      </c>
      <c r="E27" s="326" t="s">
        <v>106</v>
      </c>
      <c r="F27" s="326" t="s">
        <v>108</v>
      </c>
      <c r="G27" s="326" t="s">
        <v>19</v>
      </c>
      <c r="H27" s="326" t="s">
        <v>1</v>
      </c>
      <c r="I27" s="326" t="s">
        <v>375</v>
      </c>
      <c r="J27" s="328" t="s">
        <v>21</v>
      </c>
      <c r="K27" s="329">
        <v>45966</v>
      </c>
      <c r="L27" s="328">
        <v>1</v>
      </c>
      <c r="U27" s="330">
        <v>1</v>
      </c>
      <c r="V27" s="326">
        <v>1</v>
      </c>
      <c r="Y27" s="326">
        <v>2</v>
      </c>
    </row>
    <row r="28" spans="1:25">
      <c r="A28" s="326">
        <v>27</v>
      </c>
      <c r="B28" s="326" t="s">
        <v>90</v>
      </c>
      <c r="C28" s="326">
        <v>7551960720</v>
      </c>
      <c r="D28" s="326" t="s">
        <v>91</v>
      </c>
      <c r="E28" s="326" t="s">
        <v>369</v>
      </c>
      <c r="F28" s="326" t="s">
        <v>370</v>
      </c>
      <c r="G28" s="326" t="s">
        <v>19</v>
      </c>
      <c r="H28" s="326" t="s">
        <v>1</v>
      </c>
      <c r="I28" s="326" t="s">
        <v>441</v>
      </c>
      <c r="J28" s="328" t="s">
        <v>21</v>
      </c>
      <c r="K28" s="329">
        <v>45968</v>
      </c>
      <c r="L28" s="328">
        <v>1</v>
      </c>
      <c r="W28" s="330">
        <v>1</v>
      </c>
      <c r="Y28" s="326">
        <v>1</v>
      </c>
    </row>
    <row r="29" spans="1:25" s="334" customFormat="1">
      <c r="A29" s="334">
        <v>28</v>
      </c>
      <c r="B29" s="334" t="s">
        <v>90</v>
      </c>
      <c r="C29" s="334">
        <v>7552434110</v>
      </c>
      <c r="D29" s="334" t="s">
        <v>91</v>
      </c>
      <c r="E29" s="334" t="s">
        <v>99</v>
      </c>
      <c r="F29" s="334" t="s">
        <v>100</v>
      </c>
      <c r="G29" s="334" t="s">
        <v>19</v>
      </c>
      <c r="H29" s="334" t="s">
        <v>425</v>
      </c>
      <c r="I29" s="334" t="s">
        <v>346</v>
      </c>
      <c r="J29" s="335" t="s">
        <v>21</v>
      </c>
      <c r="K29" s="335">
        <v>1031</v>
      </c>
      <c r="L29" s="335">
        <v>6</v>
      </c>
      <c r="Q29" s="334">
        <v>6</v>
      </c>
      <c r="Y29" s="334">
        <v>6</v>
      </c>
    </row>
    <row r="30" spans="1:25" s="334" customFormat="1">
      <c r="A30" s="334">
        <v>29</v>
      </c>
      <c r="B30" s="334" t="s">
        <v>90</v>
      </c>
      <c r="C30" s="334">
        <v>7552434130</v>
      </c>
      <c r="D30" s="334" t="s">
        <v>91</v>
      </c>
      <c r="E30" s="334" t="s">
        <v>99</v>
      </c>
      <c r="F30" s="334" t="s">
        <v>100</v>
      </c>
      <c r="G30" s="334" t="s">
        <v>19</v>
      </c>
      <c r="H30" s="334" t="s">
        <v>425</v>
      </c>
      <c r="I30" s="334" t="s">
        <v>101</v>
      </c>
      <c r="J30" s="335" t="s">
        <v>21</v>
      </c>
      <c r="K30" s="335">
        <v>1031</v>
      </c>
      <c r="L30" s="335">
        <v>6</v>
      </c>
      <c r="Q30" s="334">
        <v>6</v>
      </c>
      <c r="T30" s="334">
        <v>18</v>
      </c>
      <c r="U30" s="334">
        <v>18</v>
      </c>
      <c r="V30" s="334">
        <v>12</v>
      </c>
      <c r="Y30" s="334">
        <v>54</v>
      </c>
    </row>
    <row r="31" spans="1:25" s="334" customFormat="1">
      <c r="A31" s="334">
        <v>30</v>
      </c>
      <c r="B31" s="334" t="s">
        <v>90</v>
      </c>
      <c r="C31" s="334">
        <v>7552434150</v>
      </c>
      <c r="D31" s="334" t="s">
        <v>91</v>
      </c>
      <c r="E31" s="334" t="s">
        <v>99</v>
      </c>
      <c r="F31" s="334" t="s">
        <v>100</v>
      </c>
      <c r="G31" s="334" t="s">
        <v>19</v>
      </c>
      <c r="H31" s="334" t="s">
        <v>425</v>
      </c>
      <c r="I31" s="334" t="s">
        <v>102</v>
      </c>
      <c r="J31" s="335" t="s">
        <v>21</v>
      </c>
      <c r="K31" s="335">
        <v>1031</v>
      </c>
      <c r="L31" s="335">
        <v>6</v>
      </c>
      <c r="Q31" s="334">
        <v>6</v>
      </c>
      <c r="S31" s="334">
        <v>6</v>
      </c>
      <c r="T31" s="334">
        <v>12</v>
      </c>
      <c r="U31" s="334">
        <v>12</v>
      </c>
      <c r="V31" s="334">
        <v>12</v>
      </c>
      <c r="Y31" s="334">
        <v>48</v>
      </c>
    </row>
    <row r="32" spans="1:25" s="334" customFormat="1">
      <c r="A32" s="334">
        <v>31</v>
      </c>
      <c r="B32" s="334" t="s">
        <v>90</v>
      </c>
      <c r="C32" s="334">
        <v>7552434100</v>
      </c>
      <c r="D32" s="334" t="s">
        <v>91</v>
      </c>
      <c r="E32" s="334" t="s">
        <v>99</v>
      </c>
      <c r="F32" s="334" t="s">
        <v>100</v>
      </c>
      <c r="G32" s="334" t="s">
        <v>19</v>
      </c>
      <c r="H32" s="334" t="s">
        <v>425</v>
      </c>
      <c r="I32" s="334" t="s">
        <v>442</v>
      </c>
      <c r="J32" s="335" t="s">
        <v>21</v>
      </c>
      <c r="K32" s="335">
        <v>1103</v>
      </c>
      <c r="L32" s="335">
        <v>12</v>
      </c>
      <c r="S32" s="334">
        <v>12</v>
      </c>
      <c r="Y32" s="334">
        <v>12</v>
      </c>
    </row>
  </sheetData>
  <phoneticPr fontId="5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V21"/>
  <sheetViews>
    <sheetView workbookViewId="0">
      <selection activeCell="G12" sqref="G12"/>
    </sheetView>
  </sheetViews>
  <sheetFormatPr defaultColWidth="8.88671875" defaultRowHeight="17.399999999999999"/>
  <cols>
    <col min="1" max="1" width="8.88671875" style="303"/>
    <col min="2" max="2" width="7.44140625" style="303" bestFit="1" customWidth="1"/>
    <col min="3" max="3" width="14.6640625" style="303" bestFit="1" customWidth="1"/>
    <col min="4" max="4" width="26.77734375" style="303" bestFit="1" customWidth="1"/>
    <col min="5" max="5" width="9.77734375" style="303" bestFit="1" customWidth="1"/>
    <col min="6" max="6" width="16.88671875" style="303" bestFit="1" customWidth="1"/>
    <col min="7" max="7" width="49" style="303" bestFit="1" customWidth="1"/>
    <col min="8" max="8" width="5.44140625" style="303" bestFit="1" customWidth="1"/>
    <col min="9" max="9" width="9" style="303" bestFit="1" customWidth="1"/>
    <col min="10" max="10" width="9.44140625" style="303" bestFit="1" customWidth="1"/>
    <col min="11" max="11" width="12.44140625" style="303" bestFit="1" customWidth="1"/>
    <col min="12" max="12" width="9.44140625" style="303" customWidth="1"/>
    <col min="13" max="21" width="6.44140625" style="303" bestFit="1" customWidth="1"/>
    <col min="22" max="22" width="7.6640625" style="303" bestFit="1" customWidth="1"/>
    <col min="23" max="16384" width="8.88671875" style="309"/>
  </cols>
  <sheetData>
    <row r="1" spans="1:22">
      <c r="A1" s="303" t="s">
        <v>22</v>
      </c>
      <c r="B1" s="304" t="s">
        <v>1</v>
      </c>
      <c r="C1" s="304" t="s">
        <v>20</v>
      </c>
      <c r="D1" s="304" t="s">
        <v>53</v>
      </c>
      <c r="E1" s="304" t="s">
        <v>54</v>
      </c>
      <c r="F1" s="304" t="s">
        <v>15</v>
      </c>
      <c r="G1" s="304" t="s">
        <v>56</v>
      </c>
      <c r="H1" s="304" t="s">
        <v>2</v>
      </c>
      <c r="I1" s="304" t="s">
        <v>3</v>
      </c>
      <c r="J1" s="304" t="s">
        <v>4</v>
      </c>
      <c r="K1" s="304" t="s">
        <v>57</v>
      </c>
      <c r="L1" s="304" t="s">
        <v>58</v>
      </c>
      <c r="M1" s="304" t="s">
        <v>329</v>
      </c>
      <c r="N1" s="304" t="s">
        <v>331</v>
      </c>
      <c r="O1" s="304" t="s">
        <v>332</v>
      </c>
      <c r="P1" s="304" t="s">
        <v>357</v>
      </c>
      <c r="Q1" s="304" t="s">
        <v>358</v>
      </c>
      <c r="R1" s="304" t="s">
        <v>359</v>
      </c>
      <c r="S1" s="304" t="s">
        <v>360</v>
      </c>
      <c r="T1" s="304" t="s">
        <v>361</v>
      </c>
      <c r="U1" s="304" t="s">
        <v>362</v>
      </c>
      <c r="V1" s="304" t="s">
        <v>5</v>
      </c>
    </row>
    <row r="2" spans="1:22">
      <c r="A2" s="303">
        <v>2</v>
      </c>
      <c r="B2" s="303" t="s">
        <v>94</v>
      </c>
      <c r="C2" s="303">
        <v>7552127213</v>
      </c>
      <c r="D2" s="303" t="s">
        <v>91</v>
      </c>
      <c r="E2" s="303" t="s">
        <v>92</v>
      </c>
      <c r="F2" s="303" t="s">
        <v>96</v>
      </c>
      <c r="G2" s="303" t="s">
        <v>233</v>
      </c>
      <c r="H2" s="303">
        <v>1</v>
      </c>
      <c r="I2" s="303" t="s">
        <v>339</v>
      </c>
      <c r="J2" s="305" t="s">
        <v>7</v>
      </c>
      <c r="K2" s="310">
        <v>45960</v>
      </c>
      <c r="L2" s="305">
        <v>1</v>
      </c>
      <c r="T2" s="306">
        <v>1</v>
      </c>
      <c r="V2" s="303">
        <v>1</v>
      </c>
    </row>
    <row r="3" spans="1:22">
      <c r="A3" s="303">
        <v>1</v>
      </c>
      <c r="B3" s="303">
        <v>115</v>
      </c>
      <c r="C3" s="303">
        <v>7552208252</v>
      </c>
      <c r="D3" s="303" t="s">
        <v>91</v>
      </c>
      <c r="E3" s="303" t="s">
        <v>104</v>
      </c>
      <c r="F3" s="303" t="s">
        <v>105</v>
      </c>
      <c r="G3" s="303" t="s">
        <v>405</v>
      </c>
      <c r="H3" s="303">
        <v>1</v>
      </c>
      <c r="I3" s="303" t="s">
        <v>93</v>
      </c>
      <c r="J3" s="305" t="s">
        <v>7</v>
      </c>
      <c r="K3" s="310">
        <v>45960</v>
      </c>
      <c r="L3" s="305">
        <v>1</v>
      </c>
      <c r="T3" s="306">
        <v>1</v>
      </c>
      <c r="V3" s="303">
        <v>1</v>
      </c>
    </row>
    <row r="4" spans="1:22">
      <c r="A4" s="303">
        <v>3</v>
      </c>
      <c r="B4" s="303" t="s">
        <v>94</v>
      </c>
      <c r="C4" s="303">
        <v>7552208121</v>
      </c>
      <c r="D4" s="303" t="s">
        <v>91</v>
      </c>
      <c r="E4" s="303" t="s">
        <v>104</v>
      </c>
      <c r="F4" s="303" t="s">
        <v>105</v>
      </c>
      <c r="G4" s="303" t="s">
        <v>86</v>
      </c>
      <c r="H4" s="303">
        <v>1</v>
      </c>
      <c r="I4" s="303" t="s">
        <v>93</v>
      </c>
      <c r="J4" s="305" t="s">
        <v>7</v>
      </c>
      <c r="K4" s="310">
        <v>45960</v>
      </c>
      <c r="L4" s="305">
        <v>1</v>
      </c>
      <c r="T4" s="306">
        <v>1</v>
      </c>
      <c r="V4" s="303">
        <v>1</v>
      </c>
    </row>
    <row r="5" spans="1:22">
      <c r="A5" s="303">
        <v>4</v>
      </c>
      <c r="B5" s="303" t="s">
        <v>94</v>
      </c>
      <c r="C5" s="303">
        <v>7552225631</v>
      </c>
      <c r="D5" s="303" t="s">
        <v>91</v>
      </c>
      <c r="E5" s="303" t="s">
        <v>104</v>
      </c>
      <c r="F5" s="303" t="s">
        <v>363</v>
      </c>
      <c r="G5" s="303" t="s">
        <v>405</v>
      </c>
      <c r="H5" s="303">
        <v>1</v>
      </c>
      <c r="I5" s="303" t="s">
        <v>93</v>
      </c>
      <c r="J5" s="305" t="s">
        <v>7</v>
      </c>
      <c r="K5" s="310">
        <v>45960</v>
      </c>
      <c r="L5" s="305">
        <v>1</v>
      </c>
      <c r="T5" s="306">
        <v>1</v>
      </c>
      <c r="V5" s="303">
        <v>1</v>
      </c>
    </row>
    <row r="6" spans="1:22">
      <c r="A6" s="303">
        <v>5</v>
      </c>
      <c r="B6" s="303" t="s">
        <v>94</v>
      </c>
      <c r="C6" s="303">
        <v>7552264431</v>
      </c>
      <c r="D6" s="303" t="s">
        <v>91</v>
      </c>
      <c r="E6" s="303" t="s">
        <v>104</v>
      </c>
      <c r="F6" s="303" t="s">
        <v>364</v>
      </c>
      <c r="G6" s="303" t="s">
        <v>114</v>
      </c>
      <c r="H6" s="303">
        <v>1</v>
      </c>
      <c r="I6" s="303" t="s">
        <v>93</v>
      </c>
      <c r="J6" s="305" t="s">
        <v>7</v>
      </c>
      <c r="K6" s="310">
        <v>45960</v>
      </c>
      <c r="L6" s="305">
        <v>2</v>
      </c>
      <c r="T6" s="306">
        <v>2</v>
      </c>
      <c r="V6" s="303">
        <v>2</v>
      </c>
    </row>
    <row r="7" spans="1:22">
      <c r="A7" s="303">
        <v>6</v>
      </c>
      <c r="B7" s="303" t="s">
        <v>94</v>
      </c>
      <c r="C7" s="303">
        <v>7552043252</v>
      </c>
      <c r="D7" s="303" t="s">
        <v>91</v>
      </c>
      <c r="E7" s="303" t="s">
        <v>92</v>
      </c>
      <c r="F7" s="303" t="s">
        <v>96</v>
      </c>
      <c r="G7" s="303" t="s">
        <v>379</v>
      </c>
      <c r="H7" s="303">
        <v>1</v>
      </c>
      <c r="I7" s="303" t="s">
        <v>366</v>
      </c>
      <c r="J7" s="305" t="s">
        <v>21</v>
      </c>
      <c r="K7" s="310">
        <v>45955</v>
      </c>
      <c r="L7" s="305">
        <v>1</v>
      </c>
      <c r="P7" s="306">
        <v>1</v>
      </c>
      <c r="S7" s="303">
        <v>2</v>
      </c>
      <c r="V7" s="303">
        <v>3</v>
      </c>
    </row>
    <row r="8" spans="1:22">
      <c r="A8" s="303">
        <v>7</v>
      </c>
      <c r="B8" s="303" t="s">
        <v>94</v>
      </c>
      <c r="C8" s="303">
        <v>8977943244</v>
      </c>
      <c r="D8" s="303" t="s">
        <v>91</v>
      </c>
      <c r="E8" s="303" t="s">
        <v>92</v>
      </c>
      <c r="F8" s="303" t="s">
        <v>97</v>
      </c>
      <c r="G8" s="303" t="s">
        <v>379</v>
      </c>
      <c r="H8" s="303">
        <v>1</v>
      </c>
      <c r="I8" s="303" t="s">
        <v>367</v>
      </c>
      <c r="J8" s="305" t="s">
        <v>21</v>
      </c>
      <c r="K8" s="310">
        <v>45955</v>
      </c>
      <c r="L8" s="305">
        <v>1</v>
      </c>
      <c r="P8" s="306">
        <v>1</v>
      </c>
      <c r="V8" s="303">
        <v>1</v>
      </c>
    </row>
    <row r="9" spans="1:22">
      <c r="A9" s="303">
        <v>8</v>
      </c>
      <c r="B9" s="303" t="s">
        <v>90</v>
      </c>
      <c r="C9" s="303">
        <v>7551960580</v>
      </c>
      <c r="D9" s="303" t="s">
        <v>91</v>
      </c>
      <c r="E9" s="303" t="s">
        <v>369</v>
      </c>
      <c r="F9" s="303" t="s">
        <v>370</v>
      </c>
      <c r="G9" s="303" t="s">
        <v>379</v>
      </c>
      <c r="H9" s="303">
        <v>1</v>
      </c>
      <c r="I9" s="303" t="s">
        <v>371</v>
      </c>
      <c r="J9" s="305" t="s">
        <v>21</v>
      </c>
      <c r="K9" s="310">
        <v>45955</v>
      </c>
      <c r="L9" s="305">
        <v>1</v>
      </c>
      <c r="P9" s="306">
        <v>1</v>
      </c>
      <c r="R9" s="303">
        <v>1</v>
      </c>
      <c r="S9" s="303">
        <v>1</v>
      </c>
      <c r="T9" s="303">
        <v>1</v>
      </c>
      <c r="V9" s="303">
        <v>4</v>
      </c>
    </row>
    <row r="10" spans="1:22">
      <c r="A10" s="303">
        <v>9</v>
      </c>
      <c r="B10" s="303" t="s">
        <v>90</v>
      </c>
      <c r="C10" s="303">
        <v>7552138902</v>
      </c>
      <c r="D10" s="303" t="s">
        <v>91</v>
      </c>
      <c r="E10" s="303" t="s">
        <v>92</v>
      </c>
      <c r="F10" s="303" t="s">
        <v>96</v>
      </c>
      <c r="G10" s="303" t="s">
        <v>379</v>
      </c>
      <c r="H10" s="303">
        <v>1</v>
      </c>
      <c r="I10" s="303" t="s">
        <v>372</v>
      </c>
      <c r="J10" s="305" t="s">
        <v>21</v>
      </c>
      <c r="K10" s="310">
        <v>45955</v>
      </c>
      <c r="L10" s="305">
        <v>1</v>
      </c>
      <c r="P10" s="306">
        <v>1</v>
      </c>
      <c r="R10" s="303">
        <v>2</v>
      </c>
      <c r="S10" s="303">
        <v>1</v>
      </c>
      <c r="T10" s="303">
        <v>1</v>
      </c>
      <c r="V10" s="303">
        <v>5</v>
      </c>
    </row>
    <row r="11" spans="1:22">
      <c r="A11" s="303">
        <v>10</v>
      </c>
      <c r="B11" s="303" t="s">
        <v>90</v>
      </c>
      <c r="C11" s="303">
        <v>8974996990</v>
      </c>
      <c r="D11" s="303" t="s">
        <v>91</v>
      </c>
      <c r="E11" s="303" t="s">
        <v>98</v>
      </c>
      <c r="F11" s="303" t="s">
        <v>107</v>
      </c>
      <c r="G11" s="303" t="s">
        <v>379</v>
      </c>
      <c r="H11" s="303">
        <v>1</v>
      </c>
      <c r="I11" s="303" t="s">
        <v>373</v>
      </c>
      <c r="J11" s="305" t="s">
        <v>21</v>
      </c>
      <c r="K11" s="310">
        <v>45955</v>
      </c>
      <c r="L11" s="305">
        <v>1</v>
      </c>
      <c r="P11" s="306">
        <v>1</v>
      </c>
      <c r="Q11" s="303">
        <v>1</v>
      </c>
      <c r="T11" s="303">
        <v>1</v>
      </c>
      <c r="V11" s="303">
        <v>3</v>
      </c>
    </row>
    <row r="12" spans="1:22">
      <c r="A12" s="303">
        <v>11</v>
      </c>
      <c r="B12" s="303" t="s">
        <v>90</v>
      </c>
      <c r="C12" s="303">
        <v>8977917721</v>
      </c>
      <c r="D12" s="303" t="s">
        <v>91</v>
      </c>
      <c r="E12" s="303" t="s">
        <v>106</v>
      </c>
      <c r="F12" s="303" t="s">
        <v>376</v>
      </c>
      <c r="G12" s="303" t="s">
        <v>379</v>
      </c>
      <c r="H12" s="303">
        <v>1</v>
      </c>
      <c r="I12" s="303" t="s">
        <v>377</v>
      </c>
      <c r="J12" s="305" t="s">
        <v>21</v>
      </c>
      <c r="K12" s="310">
        <v>45955</v>
      </c>
      <c r="L12" s="305">
        <v>2</v>
      </c>
      <c r="P12" s="306">
        <v>2</v>
      </c>
      <c r="Q12" s="303">
        <v>1</v>
      </c>
      <c r="R12" s="303">
        <v>2</v>
      </c>
      <c r="S12" s="303">
        <v>3</v>
      </c>
      <c r="T12" s="303">
        <v>2</v>
      </c>
      <c r="V12" s="303">
        <v>10</v>
      </c>
    </row>
    <row r="13" spans="1:22">
      <c r="A13" s="303">
        <v>12</v>
      </c>
      <c r="B13" s="303" t="s">
        <v>94</v>
      </c>
      <c r="C13" s="303">
        <v>7551909950</v>
      </c>
      <c r="D13" s="303" t="s">
        <v>91</v>
      </c>
      <c r="E13" s="303" t="s">
        <v>92</v>
      </c>
      <c r="F13" s="303" t="s">
        <v>97</v>
      </c>
      <c r="G13" s="303" t="s">
        <v>379</v>
      </c>
      <c r="H13" s="303">
        <v>1</v>
      </c>
      <c r="I13" s="303" t="s">
        <v>365</v>
      </c>
      <c r="J13" s="305" t="s">
        <v>21</v>
      </c>
      <c r="K13" s="310">
        <v>45958</v>
      </c>
      <c r="L13" s="305">
        <v>2</v>
      </c>
      <c r="R13" s="306">
        <v>2</v>
      </c>
      <c r="V13" s="303">
        <v>2</v>
      </c>
    </row>
    <row r="14" spans="1:22">
      <c r="A14" s="303">
        <v>13</v>
      </c>
      <c r="B14" s="303" t="s">
        <v>224</v>
      </c>
      <c r="C14" s="303">
        <v>8976720222</v>
      </c>
      <c r="D14" s="303" t="s">
        <v>91</v>
      </c>
      <c r="E14" s="303" t="s">
        <v>106</v>
      </c>
      <c r="F14" s="303" t="s">
        <v>223</v>
      </c>
      <c r="G14" s="303" t="s">
        <v>379</v>
      </c>
      <c r="H14" s="303">
        <v>1</v>
      </c>
      <c r="I14" s="303" t="s">
        <v>368</v>
      </c>
      <c r="J14" s="305" t="s">
        <v>21</v>
      </c>
      <c r="K14" s="310">
        <v>45958</v>
      </c>
      <c r="L14" s="305">
        <v>1</v>
      </c>
      <c r="R14" s="306">
        <v>1</v>
      </c>
      <c r="T14" s="303">
        <v>1</v>
      </c>
      <c r="V14" s="303">
        <v>2</v>
      </c>
    </row>
    <row r="15" spans="1:22">
      <c r="A15" s="303">
        <v>14</v>
      </c>
      <c r="B15" s="303" t="s">
        <v>90</v>
      </c>
      <c r="C15" s="303">
        <v>8974997000</v>
      </c>
      <c r="D15" s="303" t="s">
        <v>91</v>
      </c>
      <c r="E15" s="303" t="s">
        <v>98</v>
      </c>
      <c r="F15" s="303" t="s">
        <v>107</v>
      </c>
      <c r="G15" s="303" t="s">
        <v>379</v>
      </c>
      <c r="H15" s="303">
        <v>1</v>
      </c>
      <c r="I15" s="303" t="s">
        <v>374</v>
      </c>
      <c r="J15" s="305" t="s">
        <v>21</v>
      </c>
      <c r="K15" s="310">
        <v>45958</v>
      </c>
      <c r="L15" s="305">
        <v>1</v>
      </c>
      <c r="R15" s="306">
        <v>1</v>
      </c>
      <c r="S15" s="303">
        <v>1</v>
      </c>
      <c r="V15" s="303">
        <v>2</v>
      </c>
    </row>
    <row r="16" spans="1:22">
      <c r="A16" s="303">
        <v>15</v>
      </c>
      <c r="B16" s="303" t="s">
        <v>90</v>
      </c>
      <c r="C16" s="303">
        <v>7552418042</v>
      </c>
      <c r="D16" s="303" t="s">
        <v>91</v>
      </c>
      <c r="E16" s="303" t="s">
        <v>92</v>
      </c>
      <c r="F16" s="303" t="s">
        <v>214</v>
      </c>
      <c r="G16" s="303" t="s">
        <v>379</v>
      </c>
      <c r="H16" s="303">
        <v>3</v>
      </c>
      <c r="I16" s="303" t="s">
        <v>378</v>
      </c>
      <c r="J16" s="305" t="s">
        <v>21</v>
      </c>
      <c r="K16" s="310">
        <v>45958</v>
      </c>
      <c r="L16" s="305">
        <v>6</v>
      </c>
      <c r="R16" s="306">
        <v>6</v>
      </c>
      <c r="V16" s="303">
        <v>6</v>
      </c>
    </row>
    <row r="17" spans="1:22">
      <c r="A17" s="303">
        <v>16</v>
      </c>
      <c r="B17" s="303" t="s">
        <v>90</v>
      </c>
      <c r="C17" s="303">
        <v>8976674360</v>
      </c>
      <c r="D17" s="303" t="s">
        <v>91</v>
      </c>
      <c r="E17" s="303" t="s">
        <v>106</v>
      </c>
      <c r="F17" s="303" t="s">
        <v>108</v>
      </c>
      <c r="G17" s="303" t="s">
        <v>379</v>
      </c>
      <c r="H17" s="303">
        <v>1</v>
      </c>
      <c r="I17" s="303" t="s">
        <v>375</v>
      </c>
      <c r="J17" s="305" t="s">
        <v>21</v>
      </c>
      <c r="K17" s="310">
        <v>45959</v>
      </c>
      <c r="L17" s="305">
        <v>1</v>
      </c>
      <c r="S17" s="306">
        <v>1</v>
      </c>
      <c r="T17" s="303">
        <v>1</v>
      </c>
      <c r="V17" s="303">
        <v>2</v>
      </c>
    </row>
    <row r="18" spans="1:22">
      <c r="A18" s="307">
        <v>17</v>
      </c>
      <c r="B18" s="307" t="s">
        <v>90</v>
      </c>
      <c r="C18" s="307">
        <v>7552434110</v>
      </c>
      <c r="D18" s="307" t="s">
        <v>91</v>
      </c>
      <c r="E18" s="307" t="s">
        <v>99</v>
      </c>
      <c r="F18" s="307" t="s">
        <v>100</v>
      </c>
      <c r="G18" s="307"/>
      <c r="H18" s="307">
        <v>3</v>
      </c>
      <c r="I18" s="307" t="s">
        <v>346</v>
      </c>
      <c r="J18" s="308" t="s">
        <v>21</v>
      </c>
      <c r="K18" s="308">
        <v>1024</v>
      </c>
      <c r="L18" s="308">
        <v>6</v>
      </c>
      <c r="M18" s="307"/>
      <c r="N18" s="307"/>
      <c r="O18" s="307">
        <v>6</v>
      </c>
      <c r="P18" s="307"/>
      <c r="Q18" s="307">
        <v>6</v>
      </c>
      <c r="R18" s="307">
        <v>6</v>
      </c>
      <c r="S18" s="307">
        <v>6</v>
      </c>
      <c r="T18" s="307">
        <v>6</v>
      </c>
      <c r="U18" s="307"/>
      <c r="V18" s="307">
        <v>30</v>
      </c>
    </row>
    <row r="19" spans="1:22">
      <c r="A19" s="307">
        <v>18</v>
      </c>
      <c r="B19" s="307" t="s">
        <v>90</v>
      </c>
      <c r="C19" s="307">
        <v>7552434130</v>
      </c>
      <c r="D19" s="307" t="s">
        <v>91</v>
      </c>
      <c r="E19" s="307" t="s">
        <v>99</v>
      </c>
      <c r="F19" s="307" t="s">
        <v>100</v>
      </c>
      <c r="G19" s="307"/>
      <c r="H19" s="307">
        <v>3</v>
      </c>
      <c r="I19" s="307" t="s">
        <v>101</v>
      </c>
      <c r="J19" s="308" t="s">
        <v>21</v>
      </c>
      <c r="K19" s="308">
        <v>1024</v>
      </c>
      <c r="L19" s="308">
        <v>6</v>
      </c>
      <c r="M19" s="307"/>
      <c r="N19" s="307"/>
      <c r="O19" s="307">
        <v>6</v>
      </c>
      <c r="P19" s="307"/>
      <c r="Q19" s="307"/>
      <c r="R19" s="307"/>
      <c r="S19" s="307"/>
      <c r="T19" s="307"/>
      <c r="U19" s="307"/>
      <c r="V19" s="307">
        <v>6</v>
      </c>
    </row>
    <row r="20" spans="1:22">
      <c r="A20" s="307">
        <v>19</v>
      </c>
      <c r="B20" s="307" t="s">
        <v>90</v>
      </c>
      <c r="C20" s="307">
        <v>7552434150</v>
      </c>
      <c r="D20" s="307" t="s">
        <v>91</v>
      </c>
      <c r="E20" s="307" t="s">
        <v>99</v>
      </c>
      <c r="F20" s="307" t="s">
        <v>100</v>
      </c>
      <c r="G20" s="307"/>
      <c r="H20" s="307">
        <v>3</v>
      </c>
      <c r="I20" s="307" t="s">
        <v>102</v>
      </c>
      <c r="J20" s="308" t="s">
        <v>21</v>
      </c>
      <c r="K20" s="308">
        <v>1027</v>
      </c>
      <c r="L20" s="308">
        <v>6</v>
      </c>
      <c r="M20" s="307"/>
      <c r="N20" s="307"/>
      <c r="O20" s="307"/>
      <c r="P20" s="307"/>
      <c r="Q20" s="307">
        <v>6</v>
      </c>
      <c r="R20" s="307">
        <v>6</v>
      </c>
      <c r="S20" s="307">
        <v>6</v>
      </c>
      <c r="T20" s="307">
        <v>6</v>
      </c>
      <c r="U20" s="307"/>
      <c r="V20" s="307">
        <v>24</v>
      </c>
    </row>
    <row r="21" spans="1:22">
      <c r="A21" s="307">
        <v>20</v>
      </c>
      <c r="B21" s="307" t="s">
        <v>90</v>
      </c>
      <c r="C21" s="307">
        <v>7552434200</v>
      </c>
      <c r="D21" s="307" t="s">
        <v>91</v>
      </c>
      <c r="E21" s="307" t="s">
        <v>99</v>
      </c>
      <c r="F21" s="307" t="s">
        <v>103</v>
      </c>
      <c r="G21" s="307"/>
      <c r="H21" s="307">
        <v>3</v>
      </c>
      <c r="I21" s="307" t="s">
        <v>115</v>
      </c>
      <c r="J21" s="308" t="s">
        <v>21</v>
      </c>
      <c r="K21" s="308">
        <v>1028</v>
      </c>
      <c r="L21" s="308">
        <v>6</v>
      </c>
      <c r="M21" s="307"/>
      <c r="N21" s="307"/>
      <c r="O21" s="307"/>
      <c r="P21" s="307"/>
      <c r="Q21" s="307"/>
      <c r="R21" s="307">
        <v>6</v>
      </c>
      <c r="S21" s="307"/>
      <c r="T21" s="307"/>
      <c r="U21" s="307"/>
      <c r="V21" s="307">
        <v>6</v>
      </c>
    </row>
  </sheetData>
  <sortState xmlns:xlrd2="http://schemas.microsoft.com/office/spreadsheetml/2017/richdata2" ref="A2:V21">
    <sortCondition ref="J3:J21" customList="初,久,#N/A"/>
    <sortCondition ref="K3:K21"/>
  </sortState>
  <phoneticPr fontId="5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27"/>
  <sheetViews>
    <sheetView workbookViewId="0">
      <selection activeCell="D14" sqref="D14"/>
    </sheetView>
  </sheetViews>
  <sheetFormatPr defaultColWidth="8.88671875" defaultRowHeight="17.399999999999999"/>
  <cols>
    <col min="1" max="1" width="7.6640625" style="274" bestFit="1" customWidth="1"/>
    <col min="2" max="2" width="8.21875" style="277" bestFit="1" customWidth="1"/>
    <col min="3" max="3" width="14.44140625" style="274" bestFit="1" customWidth="1"/>
    <col min="4" max="4" width="22.44140625" style="274" bestFit="1" customWidth="1"/>
    <col min="5" max="5" width="10.44140625" style="274" bestFit="1" customWidth="1"/>
    <col min="6" max="6" width="16.77734375" style="274" bestFit="1" customWidth="1"/>
    <col min="7" max="7" width="63.88671875" style="274" bestFit="1" customWidth="1"/>
    <col min="8" max="8" width="6.109375" style="274" bestFit="1" customWidth="1"/>
    <col min="9" max="9" width="9.6640625" style="274" bestFit="1" customWidth="1"/>
    <col min="10" max="10" width="10.21875" style="274" bestFit="1" customWidth="1"/>
    <col min="11" max="12" width="10.21875" style="274" customWidth="1"/>
    <col min="13" max="20" width="6.88671875" style="274" bestFit="1" customWidth="1"/>
    <col min="21" max="21" width="8.21875" style="274" bestFit="1" customWidth="1"/>
    <col min="22" max="22" width="6.88671875" style="274" bestFit="1" customWidth="1"/>
    <col min="23" max="23" width="8.21875" style="274" bestFit="1" customWidth="1"/>
    <col min="24" max="16384" width="8.88671875" style="274"/>
  </cols>
  <sheetData>
    <row r="1" spans="1:23">
      <c r="A1" s="274" t="s">
        <v>22</v>
      </c>
      <c r="B1" s="275" t="s">
        <v>1</v>
      </c>
      <c r="C1" s="276" t="s">
        <v>20</v>
      </c>
      <c r="D1" s="276" t="s">
        <v>53</v>
      </c>
      <c r="E1" s="276" t="s">
        <v>54</v>
      </c>
      <c r="F1" s="276" t="s">
        <v>15</v>
      </c>
      <c r="G1" s="276" t="s">
        <v>56</v>
      </c>
      <c r="H1" s="276" t="s">
        <v>2</v>
      </c>
      <c r="I1" s="276" t="s">
        <v>3</v>
      </c>
      <c r="J1" s="276" t="s">
        <v>4</v>
      </c>
      <c r="K1" s="276" t="s">
        <v>57</v>
      </c>
      <c r="L1" s="276" t="s">
        <v>58</v>
      </c>
      <c r="M1" s="276" t="s">
        <v>232</v>
      </c>
      <c r="N1" s="276" t="s">
        <v>301</v>
      </c>
      <c r="O1" s="276" t="s">
        <v>302</v>
      </c>
      <c r="P1" s="276" t="s">
        <v>303</v>
      </c>
      <c r="Q1" s="276" t="s">
        <v>304</v>
      </c>
      <c r="R1" s="276" t="s">
        <v>328</v>
      </c>
      <c r="S1" s="276" t="s">
        <v>329</v>
      </c>
      <c r="T1" s="276" t="s">
        <v>330</v>
      </c>
      <c r="U1" s="276" t="s">
        <v>331</v>
      </c>
      <c r="V1" s="276" t="s">
        <v>332</v>
      </c>
      <c r="W1" s="276" t="s">
        <v>5</v>
      </c>
    </row>
    <row r="2" spans="1:23">
      <c r="A2" s="285">
        <v>1</v>
      </c>
      <c r="B2" s="286" t="s">
        <v>94</v>
      </c>
      <c r="C2" s="285">
        <v>7552701741</v>
      </c>
      <c r="D2" s="285" t="s">
        <v>91</v>
      </c>
      <c r="E2" s="285" t="s">
        <v>118</v>
      </c>
      <c r="F2" s="285" t="s">
        <v>213</v>
      </c>
      <c r="G2" s="285" t="s">
        <v>288</v>
      </c>
      <c r="H2" s="285">
        <v>1</v>
      </c>
      <c r="I2" s="285" t="s">
        <v>93</v>
      </c>
      <c r="J2" s="287" t="s">
        <v>7</v>
      </c>
      <c r="K2" s="288">
        <v>45946</v>
      </c>
      <c r="L2" s="287">
        <v>1</v>
      </c>
      <c r="O2" s="280">
        <v>1</v>
      </c>
      <c r="W2" s="274">
        <v>1</v>
      </c>
    </row>
    <row r="3" spans="1:23">
      <c r="A3" s="285">
        <v>2</v>
      </c>
      <c r="B3" s="286" t="s">
        <v>94</v>
      </c>
      <c r="C3" s="285">
        <v>7552701841</v>
      </c>
      <c r="D3" s="285" t="s">
        <v>91</v>
      </c>
      <c r="E3" s="285" t="s">
        <v>118</v>
      </c>
      <c r="F3" s="285" t="s">
        <v>213</v>
      </c>
      <c r="G3" s="285" t="s">
        <v>288</v>
      </c>
      <c r="H3" s="285">
        <v>1</v>
      </c>
      <c r="I3" s="285" t="s">
        <v>93</v>
      </c>
      <c r="J3" s="287" t="s">
        <v>7</v>
      </c>
      <c r="K3" s="288">
        <v>45946</v>
      </c>
      <c r="L3" s="287">
        <v>1</v>
      </c>
      <c r="O3" s="280">
        <v>1</v>
      </c>
      <c r="W3" s="274">
        <v>1</v>
      </c>
    </row>
    <row r="4" spans="1:23">
      <c r="A4" s="285">
        <v>3</v>
      </c>
      <c r="B4" s="286" t="s">
        <v>90</v>
      </c>
      <c r="C4" s="285">
        <v>7552164981</v>
      </c>
      <c r="D4" s="285" t="s">
        <v>91</v>
      </c>
      <c r="E4" s="285" t="s">
        <v>92</v>
      </c>
      <c r="F4" s="285" t="s">
        <v>214</v>
      </c>
      <c r="G4" s="285" t="s">
        <v>288</v>
      </c>
      <c r="H4" s="285">
        <v>1</v>
      </c>
      <c r="I4" s="285" t="s">
        <v>333</v>
      </c>
      <c r="J4" s="287" t="s">
        <v>7</v>
      </c>
      <c r="K4" s="288">
        <v>45946</v>
      </c>
      <c r="L4" s="287">
        <v>1</v>
      </c>
      <c r="O4" s="280">
        <v>1</v>
      </c>
      <c r="W4" s="274">
        <v>1</v>
      </c>
    </row>
    <row r="5" spans="1:23">
      <c r="A5" s="285">
        <v>4</v>
      </c>
      <c r="B5" s="286" t="s">
        <v>90</v>
      </c>
      <c r="C5" s="285">
        <v>7552472910</v>
      </c>
      <c r="D5" s="285" t="s">
        <v>91</v>
      </c>
      <c r="E5" s="285" t="s">
        <v>118</v>
      </c>
      <c r="F5" s="285" t="s">
        <v>334</v>
      </c>
      <c r="G5" s="285" t="s">
        <v>288</v>
      </c>
      <c r="H5" s="285">
        <v>1</v>
      </c>
      <c r="I5" s="285" t="s">
        <v>93</v>
      </c>
      <c r="J5" s="287" t="s">
        <v>7</v>
      </c>
      <c r="K5" s="288">
        <v>45946</v>
      </c>
      <c r="L5" s="287">
        <v>1</v>
      </c>
      <c r="O5" s="280">
        <v>1</v>
      </c>
      <c r="W5" s="274">
        <v>1</v>
      </c>
    </row>
    <row r="6" spans="1:23">
      <c r="A6" s="285">
        <v>5</v>
      </c>
      <c r="B6" s="286" t="s">
        <v>90</v>
      </c>
      <c r="C6" s="285">
        <v>7552473040</v>
      </c>
      <c r="D6" s="285" t="s">
        <v>91</v>
      </c>
      <c r="E6" s="285" t="s">
        <v>118</v>
      </c>
      <c r="F6" s="285" t="s">
        <v>335</v>
      </c>
      <c r="G6" s="285" t="s">
        <v>288</v>
      </c>
      <c r="H6" s="285">
        <v>1</v>
      </c>
      <c r="I6" s="285" t="s">
        <v>93</v>
      </c>
      <c r="J6" s="287" t="s">
        <v>7</v>
      </c>
      <c r="K6" s="288">
        <v>45946</v>
      </c>
      <c r="L6" s="287">
        <v>1</v>
      </c>
      <c r="O6" s="280">
        <v>1</v>
      </c>
      <c r="W6" s="274">
        <v>1</v>
      </c>
    </row>
    <row r="7" spans="1:23">
      <c r="A7" s="285">
        <v>6</v>
      </c>
      <c r="B7" s="286" t="s">
        <v>90</v>
      </c>
      <c r="C7" s="285">
        <v>7552943190</v>
      </c>
      <c r="D7" s="285" t="s">
        <v>91</v>
      </c>
      <c r="E7" s="285" t="s">
        <v>118</v>
      </c>
      <c r="F7" s="285" t="s">
        <v>121</v>
      </c>
      <c r="G7" s="285" t="s">
        <v>288</v>
      </c>
      <c r="H7" s="285">
        <v>1</v>
      </c>
      <c r="I7" s="285" t="s">
        <v>93</v>
      </c>
      <c r="J7" s="287" t="s">
        <v>7</v>
      </c>
      <c r="K7" s="288">
        <v>45946</v>
      </c>
      <c r="L7" s="287">
        <v>1</v>
      </c>
      <c r="O7" s="280">
        <v>1</v>
      </c>
      <c r="W7" s="274">
        <v>1</v>
      </c>
    </row>
    <row r="8" spans="1:23">
      <c r="A8" s="285">
        <v>7</v>
      </c>
      <c r="B8" s="286" t="s">
        <v>90</v>
      </c>
      <c r="C8" s="285">
        <v>7552943230</v>
      </c>
      <c r="D8" s="285" t="s">
        <v>91</v>
      </c>
      <c r="E8" s="285" t="s">
        <v>118</v>
      </c>
      <c r="F8" s="285" t="s">
        <v>121</v>
      </c>
      <c r="G8" s="285" t="s">
        <v>288</v>
      </c>
      <c r="H8" s="285">
        <v>1</v>
      </c>
      <c r="I8" s="285" t="s">
        <v>93</v>
      </c>
      <c r="J8" s="287" t="s">
        <v>7</v>
      </c>
      <c r="K8" s="288">
        <v>45946</v>
      </c>
      <c r="L8" s="287">
        <v>1</v>
      </c>
      <c r="O8" s="280">
        <v>1</v>
      </c>
      <c r="W8" s="274">
        <v>1</v>
      </c>
    </row>
    <row r="9" spans="1:23">
      <c r="A9" s="285">
        <v>8</v>
      </c>
      <c r="B9" s="286" t="s">
        <v>90</v>
      </c>
      <c r="C9" s="285">
        <v>7552943260</v>
      </c>
      <c r="D9" s="285" t="s">
        <v>91</v>
      </c>
      <c r="E9" s="285" t="s">
        <v>118</v>
      </c>
      <c r="F9" s="285" t="s">
        <v>121</v>
      </c>
      <c r="G9" s="285" t="s">
        <v>350</v>
      </c>
      <c r="H9" s="285">
        <v>1</v>
      </c>
      <c r="I9" s="285" t="s">
        <v>93</v>
      </c>
      <c r="J9" s="287" t="s">
        <v>7</v>
      </c>
      <c r="K9" s="288">
        <v>45946</v>
      </c>
      <c r="L9" s="287">
        <v>1</v>
      </c>
      <c r="O9" s="280">
        <v>1</v>
      </c>
      <c r="W9" s="274">
        <v>1</v>
      </c>
    </row>
    <row r="10" spans="1:23">
      <c r="A10" s="274">
        <v>9</v>
      </c>
      <c r="B10" s="277">
        <v>115</v>
      </c>
      <c r="C10" s="274">
        <v>7552702980</v>
      </c>
      <c r="D10" s="274" t="s">
        <v>91</v>
      </c>
      <c r="E10" s="274" t="s">
        <v>110</v>
      </c>
      <c r="F10" s="274" t="s">
        <v>95</v>
      </c>
      <c r="G10" s="274" t="s">
        <v>336</v>
      </c>
      <c r="H10" s="274">
        <v>3</v>
      </c>
      <c r="I10" s="274" t="s">
        <v>120</v>
      </c>
      <c r="J10" s="278" t="s">
        <v>7</v>
      </c>
      <c r="K10" s="279">
        <v>45947</v>
      </c>
      <c r="L10" s="278">
        <v>24</v>
      </c>
      <c r="P10" s="280">
        <v>24</v>
      </c>
      <c r="R10" s="274">
        <v>24</v>
      </c>
      <c r="S10" s="274">
        <v>18</v>
      </c>
      <c r="T10" s="274">
        <v>18</v>
      </c>
      <c r="U10" s="274">
        <v>12</v>
      </c>
      <c r="W10" s="274">
        <v>96</v>
      </c>
    </row>
    <row r="11" spans="1:23">
      <c r="A11" s="274">
        <v>10</v>
      </c>
      <c r="B11" s="277">
        <v>115</v>
      </c>
      <c r="C11" s="274">
        <v>7552703020</v>
      </c>
      <c r="D11" s="274" t="s">
        <v>91</v>
      </c>
      <c r="E11" s="274" t="s">
        <v>110</v>
      </c>
      <c r="F11" s="274" t="s">
        <v>111</v>
      </c>
      <c r="G11" s="274" t="s">
        <v>337</v>
      </c>
      <c r="H11" s="274">
        <v>3</v>
      </c>
      <c r="I11" s="274" t="s">
        <v>311</v>
      </c>
      <c r="J11" s="278" t="s">
        <v>7</v>
      </c>
      <c r="K11" s="279">
        <v>45947</v>
      </c>
      <c r="L11" s="278">
        <v>6</v>
      </c>
      <c r="P11" s="280">
        <v>6</v>
      </c>
      <c r="T11" s="274">
        <v>12</v>
      </c>
      <c r="U11" s="274">
        <v>6</v>
      </c>
      <c r="W11" s="274">
        <v>24</v>
      </c>
    </row>
    <row r="12" spans="1:23" s="289" customFormat="1">
      <c r="A12" s="289">
        <v>11</v>
      </c>
      <c r="B12" s="290" t="s">
        <v>94</v>
      </c>
      <c r="C12" s="289">
        <v>8972681154</v>
      </c>
      <c r="D12" s="289" t="s">
        <v>91</v>
      </c>
      <c r="E12" s="289" t="s">
        <v>104</v>
      </c>
      <c r="F12" s="289" t="s">
        <v>222</v>
      </c>
      <c r="G12" s="289" t="s">
        <v>88</v>
      </c>
      <c r="H12" s="289">
        <v>1</v>
      </c>
      <c r="I12" s="289" t="s">
        <v>338</v>
      </c>
      <c r="J12" s="291" t="s">
        <v>7</v>
      </c>
      <c r="K12" s="292">
        <v>45948</v>
      </c>
      <c r="L12" s="291">
        <v>2</v>
      </c>
      <c r="Q12" s="293">
        <v>2</v>
      </c>
      <c r="W12" s="289">
        <v>2</v>
      </c>
    </row>
    <row r="13" spans="1:23">
      <c r="A13" s="274">
        <v>12</v>
      </c>
      <c r="B13" s="277">
        <v>115</v>
      </c>
      <c r="C13" s="274">
        <v>7552702990</v>
      </c>
      <c r="D13" s="274" t="s">
        <v>91</v>
      </c>
      <c r="E13" s="274" t="s">
        <v>110</v>
      </c>
      <c r="F13" s="274" t="s">
        <v>95</v>
      </c>
      <c r="G13" s="274" t="s">
        <v>337</v>
      </c>
      <c r="H13" s="274">
        <v>3</v>
      </c>
      <c r="I13" s="274" t="s">
        <v>312</v>
      </c>
      <c r="J13" s="278" t="s">
        <v>7</v>
      </c>
      <c r="K13" s="279">
        <v>45950</v>
      </c>
      <c r="L13" s="278">
        <v>6</v>
      </c>
      <c r="R13" s="280">
        <v>6</v>
      </c>
      <c r="S13" s="274">
        <v>18</v>
      </c>
      <c r="T13" s="274">
        <v>6</v>
      </c>
      <c r="U13" s="274">
        <v>12</v>
      </c>
      <c r="W13" s="274">
        <v>42</v>
      </c>
    </row>
    <row r="14" spans="1:23" s="289" customFormat="1">
      <c r="A14" s="289">
        <v>13</v>
      </c>
      <c r="B14" s="290" t="s">
        <v>94</v>
      </c>
      <c r="C14" s="289">
        <v>7552127213</v>
      </c>
      <c r="D14" s="289" t="s">
        <v>91</v>
      </c>
      <c r="E14" s="289" t="s">
        <v>92</v>
      </c>
      <c r="F14" s="289" t="s">
        <v>96</v>
      </c>
      <c r="G14" s="289" t="s">
        <v>233</v>
      </c>
      <c r="H14" s="289">
        <v>1</v>
      </c>
      <c r="I14" s="289" t="s">
        <v>339</v>
      </c>
      <c r="J14" s="291" t="s">
        <v>7</v>
      </c>
      <c r="K14" s="292">
        <v>45951</v>
      </c>
      <c r="L14" s="291">
        <v>1</v>
      </c>
      <c r="S14" s="293">
        <v>1</v>
      </c>
      <c r="T14" s="289">
        <v>1</v>
      </c>
      <c r="U14" s="289">
        <v>1</v>
      </c>
      <c r="W14" s="289">
        <v>3</v>
      </c>
    </row>
    <row r="15" spans="1:23">
      <c r="A15" s="274">
        <v>14</v>
      </c>
      <c r="B15" s="277">
        <v>115</v>
      </c>
      <c r="C15" s="274">
        <v>7552702920</v>
      </c>
      <c r="D15" s="274" t="s">
        <v>91</v>
      </c>
      <c r="E15" s="274" t="s">
        <v>118</v>
      </c>
      <c r="F15" s="274" t="s">
        <v>119</v>
      </c>
      <c r="G15" s="274" t="s">
        <v>340</v>
      </c>
      <c r="H15" s="274">
        <v>3</v>
      </c>
      <c r="I15" s="274" t="s">
        <v>310</v>
      </c>
      <c r="J15" s="278" t="s">
        <v>7</v>
      </c>
      <c r="K15" s="279">
        <v>45953</v>
      </c>
      <c r="L15" s="278">
        <v>6</v>
      </c>
      <c r="U15" s="280">
        <v>6</v>
      </c>
      <c r="W15" s="274">
        <v>6</v>
      </c>
    </row>
    <row r="16" spans="1:23">
      <c r="A16" s="274">
        <v>15</v>
      </c>
      <c r="B16" s="277" t="s">
        <v>94</v>
      </c>
      <c r="C16" s="274">
        <v>7552127064</v>
      </c>
      <c r="D16" s="274" t="s">
        <v>91</v>
      </c>
      <c r="E16" s="274" t="s">
        <v>92</v>
      </c>
      <c r="F16" s="274" t="s">
        <v>96</v>
      </c>
      <c r="G16" s="274" t="s">
        <v>233</v>
      </c>
      <c r="H16" s="274">
        <v>1</v>
      </c>
      <c r="I16" s="274" t="s">
        <v>313</v>
      </c>
      <c r="J16" s="278" t="s">
        <v>7</v>
      </c>
      <c r="K16" s="279">
        <v>45954</v>
      </c>
      <c r="L16" s="278">
        <v>3</v>
      </c>
      <c r="V16" s="280">
        <v>3</v>
      </c>
      <c r="W16" s="274">
        <v>3</v>
      </c>
    </row>
    <row r="17" spans="1:23">
      <c r="A17" s="274">
        <v>17</v>
      </c>
      <c r="B17" s="277" t="s">
        <v>90</v>
      </c>
      <c r="C17" s="274">
        <v>8978836721</v>
      </c>
      <c r="D17" s="274" t="s">
        <v>91</v>
      </c>
      <c r="E17" s="274" t="s">
        <v>92</v>
      </c>
      <c r="F17" s="274" t="s">
        <v>214</v>
      </c>
      <c r="G17" s="274" t="s">
        <v>19</v>
      </c>
      <c r="H17" s="274">
        <v>3</v>
      </c>
      <c r="I17" s="274" t="s">
        <v>341</v>
      </c>
      <c r="J17" s="278" t="s">
        <v>21</v>
      </c>
      <c r="K17" s="279">
        <v>45947</v>
      </c>
      <c r="L17" s="278">
        <v>6</v>
      </c>
      <c r="P17" s="280">
        <v>6</v>
      </c>
      <c r="W17" s="274">
        <v>6</v>
      </c>
    </row>
    <row r="18" spans="1:23">
      <c r="A18" s="274">
        <v>18</v>
      </c>
      <c r="B18" s="277" t="s">
        <v>94</v>
      </c>
      <c r="C18" s="274">
        <v>7551909300</v>
      </c>
      <c r="D18" s="274" t="s">
        <v>91</v>
      </c>
      <c r="E18" s="274" t="s">
        <v>92</v>
      </c>
      <c r="F18" s="274" t="s">
        <v>97</v>
      </c>
      <c r="G18" s="274" t="s">
        <v>19</v>
      </c>
      <c r="H18" s="274">
        <v>1</v>
      </c>
      <c r="I18" s="274" t="s">
        <v>342</v>
      </c>
      <c r="J18" s="278" t="s">
        <v>21</v>
      </c>
      <c r="K18" s="279">
        <v>45948</v>
      </c>
      <c r="L18" s="278">
        <v>1</v>
      </c>
      <c r="Q18" s="280">
        <v>1</v>
      </c>
      <c r="W18" s="274">
        <v>1</v>
      </c>
    </row>
    <row r="19" spans="1:23">
      <c r="A19" s="274">
        <v>19</v>
      </c>
      <c r="B19" s="277" t="s">
        <v>94</v>
      </c>
      <c r="C19" s="274">
        <v>8978739152</v>
      </c>
      <c r="D19" s="274" t="s">
        <v>91</v>
      </c>
      <c r="E19" s="274" t="s">
        <v>92</v>
      </c>
      <c r="F19" s="274" t="s">
        <v>97</v>
      </c>
      <c r="G19" s="274" t="s">
        <v>19</v>
      </c>
      <c r="H19" s="274">
        <v>1</v>
      </c>
      <c r="I19" s="274" t="s">
        <v>343</v>
      </c>
      <c r="J19" s="278" t="s">
        <v>21</v>
      </c>
      <c r="K19" s="279">
        <v>45948</v>
      </c>
      <c r="L19" s="278">
        <v>1</v>
      </c>
      <c r="Q19" s="280">
        <v>1</v>
      </c>
      <c r="R19" s="274">
        <v>1</v>
      </c>
      <c r="S19" s="274">
        <v>1</v>
      </c>
      <c r="V19" s="274">
        <v>1</v>
      </c>
      <c r="W19" s="274">
        <v>4</v>
      </c>
    </row>
    <row r="20" spans="1:23">
      <c r="A20" s="274">
        <v>20</v>
      </c>
      <c r="B20" s="277" t="s">
        <v>90</v>
      </c>
      <c r="C20" s="274">
        <v>8972416592</v>
      </c>
      <c r="D20" s="274" t="s">
        <v>91</v>
      </c>
      <c r="E20" s="274" t="s">
        <v>92</v>
      </c>
      <c r="F20" s="274" t="s">
        <v>96</v>
      </c>
      <c r="G20" s="274" t="s">
        <v>19</v>
      </c>
      <c r="H20" s="274">
        <v>1</v>
      </c>
      <c r="I20" s="274" t="s">
        <v>317</v>
      </c>
      <c r="J20" s="278" t="s">
        <v>21</v>
      </c>
      <c r="K20" s="279">
        <v>45948</v>
      </c>
      <c r="L20" s="278">
        <v>1</v>
      </c>
      <c r="Q20" s="280">
        <v>1</v>
      </c>
      <c r="T20" s="274">
        <v>2</v>
      </c>
      <c r="W20" s="274">
        <v>3</v>
      </c>
    </row>
    <row r="21" spans="1:23">
      <c r="A21" s="274">
        <v>21</v>
      </c>
      <c r="B21" s="277" t="s">
        <v>94</v>
      </c>
      <c r="C21" s="274">
        <v>7551885502</v>
      </c>
      <c r="D21" s="274" t="s">
        <v>91</v>
      </c>
      <c r="E21" s="274" t="s">
        <v>92</v>
      </c>
      <c r="F21" s="274" t="s">
        <v>96</v>
      </c>
      <c r="G21" s="274" t="s">
        <v>19</v>
      </c>
      <c r="H21" s="274">
        <v>1</v>
      </c>
      <c r="I21" s="274" t="s">
        <v>344</v>
      </c>
      <c r="J21" s="278" t="s">
        <v>21</v>
      </c>
      <c r="K21" s="279">
        <v>45951</v>
      </c>
      <c r="L21" s="278">
        <v>2</v>
      </c>
      <c r="S21" s="280">
        <v>2</v>
      </c>
      <c r="W21" s="274">
        <v>2</v>
      </c>
    </row>
    <row r="22" spans="1:23">
      <c r="A22" s="274">
        <v>22</v>
      </c>
      <c r="B22" s="277" t="s">
        <v>94</v>
      </c>
      <c r="C22" s="274">
        <v>8977943322</v>
      </c>
      <c r="D22" s="274" t="s">
        <v>91</v>
      </c>
      <c r="E22" s="274" t="s">
        <v>92</v>
      </c>
      <c r="F22" s="274" t="s">
        <v>97</v>
      </c>
      <c r="G22" s="274" t="s">
        <v>19</v>
      </c>
      <c r="H22" s="274">
        <v>1</v>
      </c>
      <c r="I22" s="274" t="s">
        <v>319</v>
      </c>
      <c r="J22" s="278" t="s">
        <v>21</v>
      </c>
      <c r="K22" s="279">
        <v>45951</v>
      </c>
      <c r="L22" s="278">
        <v>1</v>
      </c>
      <c r="S22" s="280">
        <v>1</v>
      </c>
      <c r="T22" s="274">
        <v>1</v>
      </c>
      <c r="W22" s="274">
        <v>2</v>
      </c>
    </row>
    <row r="23" spans="1:23">
      <c r="A23" s="274">
        <v>23</v>
      </c>
      <c r="B23" s="277" t="s">
        <v>90</v>
      </c>
      <c r="C23" s="274">
        <v>8984857951</v>
      </c>
      <c r="D23" s="274" t="s">
        <v>91</v>
      </c>
      <c r="E23" s="274" t="s">
        <v>98</v>
      </c>
      <c r="F23" s="274" t="s">
        <v>107</v>
      </c>
      <c r="G23" s="274" t="s">
        <v>19</v>
      </c>
      <c r="H23" s="274">
        <v>1</v>
      </c>
      <c r="I23" s="274" t="s">
        <v>345</v>
      </c>
      <c r="J23" s="278" t="s">
        <v>21</v>
      </c>
      <c r="K23" s="279">
        <v>45951</v>
      </c>
      <c r="L23" s="278">
        <v>1</v>
      </c>
      <c r="S23" s="280">
        <v>1</v>
      </c>
      <c r="W23" s="274">
        <v>1</v>
      </c>
    </row>
    <row r="24" spans="1:23">
      <c r="A24" s="274">
        <v>25</v>
      </c>
      <c r="B24" s="277">
        <v>115</v>
      </c>
      <c r="C24" s="274">
        <v>8975047131</v>
      </c>
      <c r="D24" s="274" t="s">
        <v>91</v>
      </c>
      <c r="E24" s="274" t="s">
        <v>347</v>
      </c>
      <c r="F24" s="274" t="s">
        <v>348</v>
      </c>
      <c r="G24" s="274" t="s">
        <v>19</v>
      </c>
      <c r="H24" s="274">
        <v>1</v>
      </c>
      <c r="I24" s="274" t="s">
        <v>349</v>
      </c>
      <c r="J24" s="278" t="s">
        <v>21</v>
      </c>
      <c r="K24" s="279">
        <v>45952</v>
      </c>
      <c r="L24" s="278">
        <v>1</v>
      </c>
      <c r="T24" s="280">
        <v>1</v>
      </c>
      <c r="U24" s="274">
        <v>1</v>
      </c>
      <c r="W24" s="274">
        <v>2</v>
      </c>
    </row>
    <row r="25" spans="1:23" s="281" customFormat="1">
      <c r="A25" s="281">
        <v>26</v>
      </c>
      <c r="B25" s="282" t="s">
        <v>90</v>
      </c>
      <c r="C25" s="281">
        <v>7552434130</v>
      </c>
      <c r="D25" s="281" t="s">
        <v>91</v>
      </c>
      <c r="E25" s="281" t="s">
        <v>99</v>
      </c>
      <c r="F25" s="281" t="s">
        <v>100</v>
      </c>
      <c r="G25" s="281" t="s">
        <v>19</v>
      </c>
      <c r="H25" s="281">
        <v>3</v>
      </c>
      <c r="I25" s="281" t="s">
        <v>101</v>
      </c>
      <c r="J25" s="283" t="s">
        <v>21</v>
      </c>
      <c r="K25" s="284">
        <v>45953</v>
      </c>
      <c r="L25" s="283">
        <v>24</v>
      </c>
      <c r="U25" s="281">
        <v>24</v>
      </c>
      <c r="W25" s="281">
        <v>24</v>
      </c>
    </row>
    <row r="26" spans="1:23" s="281" customFormat="1">
      <c r="A26" s="281">
        <v>16</v>
      </c>
      <c r="B26" s="282" t="s">
        <v>90</v>
      </c>
      <c r="C26" s="281">
        <v>7552434150</v>
      </c>
      <c r="D26" s="281" t="s">
        <v>91</v>
      </c>
      <c r="E26" s="281" t="s">
        <v>99</v>
      </c>
      <c r="F26" s="281" t="s">
        <v>100</v>
      </c>
      <c r="G26" s="281" t="s">
        <v>19</v>
      </c>
      <c r="H26" s="281">
        <v>3</v>
      </c>
      <c r="I26" s="281" t="s">
        <v>102</v>
      </c>
      <c r="J26" s="283" t="s">
        <v>21</v>
      </c>
      <c r="K26" s="284">
        <v>45947</v>
      </c>
      <c r="L26" s="283">
        <v>6</v>
      </c>
      <c r="P26" s="281">
        <v>6</v>
      </c>
      <c r="R26" s="281">
        <v>6</v>
      </c>
      <c r="S26" s="281">
        <v>12</v>
      </c>
      <c r="T26" s="281">
        <v>6</v>
      </c>
      <c r="U26" s="281">
        <v>12</v>
      </c>
      <c r="W26" s="281">
        <v>42</v>
      </c>
    </row>
    <row r="27" spans="1:23" s="281" customFormat="1">
      <c r="A27" s="281">
        <v>24</v>
      </c>
      <c r="B27" s="282" t="s">
        <v>90</v>
      </c>
      <c r="C27" s="281">
        <v>7552434110</v>
      </c>
      <c r="D27" s="281" t="s">
        <v>91</v>
      </c>
      <c r="E27" s="281" t="s">
        <v>99</v>
      </c>
      <c r="F27" s="281" t="s">
        <v>100</v>
      </c>
      <c r="G27" s="281" t="s">
        <v>19</v>
      </c>
      <c r="H27" s="281">
        <v>3</v>
      </c>
      <c r="I27" s="281" t="s">
        <v>346</v>
      </c>
      <c r="J27" s="283" t="s">
        <v>21</v>
      </c>
      <c r="K27" s="284">
        <v>45951</v>
      </c>
      <c r="L27" s="283">
        <v>6</v>
      </c>
      <c r="S27" s="281">
        <v>6</v>
      </c>
      <c r="T27" s="281">
        <v>6</v>
      </c>
      <c r="W27" s="281">
        <v>12</v>
      </c>
    </row>
  </sheetData>
  <autoFilter ref="A1:W25" xr:uid="{00000000-0009-0000-0000-000004000000}">
    <sortState xmlns:xlrd2="http://schemas.microsoft.com/office/spreadsheetml/2017/richdata2" ref="A2:W25">
      <sortCondition ref="J2:J25" customList="初,久,#N/A"/>
      <sortCondition ref="K2:K25"/>
      <sortCondition ref="B2:B25"/>
    </sortState>
  </autoFilter>
  <phoneticPr fontId="5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"/>
  <sheetViews>
    <sheetView topLeftCell="A13" workbookViewId="0">
      <selection activeCell="G18" sqref="G18"/>
    </sheetView>
  </sheetViews>
  <sheetFormatPr defaultColWidth="8.88671875" defaultRowHeight="17.399999999999999"/>
  <cols>
    <col min="1" max="1" width="8.88671875" style="264"/>
    <col min="2" max="2" width="7.44140625" style="264" bestFit="1" customWidth="1"/>
    <col min="3" max="3" width="13.88671875" style="264" bestFit="1" customWidth="1"/>
    <col min="4" max="4" width="26.77734375" style="264" bestFit="1" customWidth="1"/>
    <col min="5" max="5" width="9.77734375" style="264" bestFit="1" customWidth="1"/>
    <col min="6" max="6" width="15.44140625" style="264" bestFit="1" customWidth="1"/>
    <col min="7" max="7" width="47.33203125" style="264" bestFit="1" customWidth="1"/>
    <col min="8" max="8" width="5.44140625" style="264" bestFit="1" customWidth="1"/>
    <col min="9" max="9" width="9" style="264" bestFit="1" customWidth="1"/>
    <col min="10" max="10" width="9.44140625" style="264" bestFit="1" customWidth="1"/>
    <col min="11" max="11" width="11.6640625" style="264" bestFit="1" customWidth="1"/>
    <col min="12" max="12" width="9.44140625" style="264" customWidth="1"/>
    <col min="13" max="22" width="6.44140625" style="264" bestFit="1" customWidth="1"/>
    <col min="23" max="23" width="7.6640625" style="264" bestFit="1" customWidth="1"/>
    <col min="24" max="16384" width="8.88671875" style="264"/>
  </cols>
  <sheetData>
    <row r="1" spans="1:23">
      <c r="A1" s="264" t="s">
        <v>22</v>
      </c>
      <c r="B1" s="265" t="s">
        <v>1</v>
      </c>
      <c r="C1" s="265" t="s">
        <v>20</v>
      </c>
      <c r="D1" s="265" t="s">
        <v>53</v>
      </c>
      <c r="E1" s="265" t="s">
        <v>54</v>
      </c>
      <c r="F1" s="265" t="s">
        <v>15</v>
      </c>
      <c r="G1" s="265" t="s">
        <v>56</v>
      </c>
      <c r="H1" s="265" t="s">
        <v>2</v>
      </c>
      <c r="I1" s="265" t="s">
        <v>3</v>
      </c>
      <c r="J1" s="265" t="s">
        <v>4</v>
      </c>
      <c r="K1" s="265" t="s">
        <v>57</v>
      </c>
      <c r="L1" s="265" t="s">
        <v>58</v>
      </c>
      <c r="M1" s="265" t="s">
        <v>229</v>
      </c>
      <c r="N1" s="265" t="s">
        <v>230</v>
      </c>
      <c r="O1" s="265" t="s">
        <v>231</v>
      </c>
      <c r="P1" s="265" t="s">
        <v>232</v>
      </c>
      <c r="Q1" s="265" t="s">
        <v>299</v>
      </c>
      <c r="R1" s="265" t="s">
        <v>300</v>
      </c>
      <c r="S1" s="265" t="s">
        <v>301</v>
      </c>
      <c r="T1" s="265" t="s">
        <v>302</v>
      </c>
      <c r="U1" s="265" t="s">
        <v>303</v>
      </c>
      <c r="V1" s="265" t="s">
        <v>304</v>
      </c>
      <c r="W1" s="265" t="s">
        <v>5</v>
      </c>
    </row>
    <row r="2" spans="1:23">
      <c r="A2" s="264">
        <v>1</v>
      </c>
      <c r="B2" s="264" t="s">
        <v>94</v>
      </c>
      <c r="C2" s="264">
        <v>7552701451</v>
      </c>
      <c r="D2" s="264" t="s">
        <v>91</v>
      </c>
      <c r="E2" s="264" t="s">
        <v>118</v>
      </c>
      <c r="F2" s="264" t="s">
        <v>213</v>
      </c>
      <c r="G2" s="271" t="s">
        <v>89</v>
      </c>
      <c r="H2" s="264">
        <v>1</v>
      </c>
      <c r="I2" s="264" t="s">
        <v>93</v>
      </c>
      <c r="J2" s="266" t="s">
        <v>7</v>
      </c>
      <c r="K2" s="272">
        <v>45938</v>
      </c>
      <c r="L2" s="266">
        <v>1</v>
      </c>
      <c r="N2" s="267">
        <v>1</v>
      </c>
      <c r="W2" s="264">
        <v>1</v>
      </c>
    </row>
    <row r="3" spans="1:23">
      <c r="A3" s="264">
        <v>2</v>
      </c>
      <c r="B3" s="264" t="s">
        <v>94</v>
      </c>
      <c r="C3" s="264">
        <v>7552701551</v>
      </c>
      <c r="D3" s="264" t="s">
        <v>91</v>
      </c>
      <c r="E3" s="264" t="s">
        <v>118</v>
      </c>
      <c r="F3" s="264" t="s">
        <v>213</v>
      </c>
      <c r="G3" s="271" t="s">
        <v>89</v>
      </c>
      <c r="H3" s="264">
        <v>1</v>
      </c>
      <c r="I3" s="264" t="s">
        <v>93</v>
      </c>
      <c r="J3" s="266" t="s">
        <v>7</v>
      </c>
      <c r="K3" s="272">
        <v>45938</v>
      </c>
      <c r="L3" s="266">
        <v>1</v>
      </c>
      <c r="N3" s="267">
        <v>1</v>
      </c>
      <c r="W3" s="264">
        <v>1</v>
      </c>
    </row>
    <row r="4" spans="1:23">
      <c r="A4" s="264">
        <v>3</v>
      </c>
      <c r="B4" s="264" t="s">
        <v>94</v>
      </c>
      <c r="C4" s="264">
        <v>7552701661</v>
      </c>
      <c r="D4" s="264" t="s">
        <v>91</v>
      </c>
      <c r="E4" s="264" t="s">
        <v>118</v>
      </c>
      <c r="F4" s="264" t="s">
        <v>213</v>
      </c>
      <c r="G4" s="271" t="s">
        <v>89</v>
      </c>
      <c r="H4" s="264">
        <v>1</v>
      </c>
      <c r="I4" s="264" t="s">
        <v>93</v>
      </c>
      <c r="J4" s="266" t="s">
        <v>7</v>
      </c>
      <c r="K4" s="272">
        <v>45938</v>
      </c>
      <c r="L4" s="266">
        <v>1</v>
      </c>
      <c r="N4" s="267">
        <v>1</v>
      </c>
      <c r="W4" s="264">
        <v>1</v>
      </c>
    </row>
    <row r="5" spans="1:23">
      <c r="A5" s="264">
        <v>4</v>
      </c>
      <c r="B5" s="264" t="s">
        <v>94</v>
      </c>
      <c r="C5" s="264">
        <v>7552701811</v>
      </c>
      <c r="D5" s="264" t="s">
        <v>91</v>
      </c>
      <c r="E5" s="264" t="s">
        <v>118</v>
      </c>
      <c r="F5" s="264" t="s">
        <v>213</v>
      </c>
      <c r="G5" s="271" t="s">
        <v>89</v>
      </c>
      <c r="H5" s="264">
        <v>1</v>
      </c>
      <c r="I5" s="264" t="s">
        <v>93</v>
      </c>
      <c r="J5" s="266" t="s">
        <v>7</v>
      </c>
      <c r="K5" s="272">
        <v>45938</v>
      </c>
      <c r="L5" s="266">
        <v>1</v>
      </c>
      <c r="N5" s="267">
        <v>1</v>
      </c>
      <c r="W5" s="264">
        <v>1</v>
      </c>
    </row>
    <row r="6" spans="1:23">
      <c r="A6" s="264">
        <v>5</v>
      </c>
      <c r="B6" s="264" t="s">
        <v>90</v>
      </c>
      <c r="C6" s="264">
        <v>7552165742</v>
      </c>
      <c r="D6" s="264" t="s">
        <v>91</v>
      </c>
      <c r="E6" s="264" t="s">
        <v>92</v>
      </c>
      <c r="F6" s="264" t="s">
        <v>214</v>
      </c>
      <c r="G6" s="271" t="s">
        <v>324</v>
      </c>
      <c r="H6" s="264">
        <v>1</v>
      </c>
      <c r="I6" s="264" t="s">
        <v>305</v>
      </c>
      <c r="J6" s="266" t="s">
        <v>7</v>
      </c>
      <c r="K6" s="272">
        <v>45938</v>
      </c>
      <c r="L6" s="266">
        <v>1</v>
      </c>
      <c r="N6" s="267">
        <v>1</v>
      </c>
      <c r="W6" s="264">
        <v>1</v>
      </c>
    </row>
    <row r="7" spans="1:23">
      <c r="A7" s="264">
        <v>6</v>
      </c>
      <c r="B7" s="264" t="s">
        <v>90</v>
      </c>
      <c r="C7" s="264">
        <v>7552418151</v>
      </c>
      <c r="D7" s="264" t="s">
        <v>91</v>
      </c>
      <c r="E7" s="264" t="s">
        <v>92</v>
      </c>
      <c r="F7" s="264" t="s">
        <v>214</v>
      </c>
      <c r="G7" s="271" t="s">
        <v>324</v>
      </c>
      <c r="H7" s="264">
        <v>1</v>
      </c>
      <c r="I7" s="264" t="s">
        <v>306</v>
      </c>
      <c r="J7" s="266" t="s">
        <v>7</v>
      </c>
      <c r="K7" s="272">
        <v>45938</v>
      </c>
      <c r="L7" s="266">
        <v>1</v>
      </c>
      <c r="N7" s="267">
        <v>1</v>
      </c>
      <c r="W7" s="264">
        <v>1</v>
      </c>
    </row>
    <row r="8" spans="1:23">
      <c r="A8" s="264">
        <v>7</v>
      </c>
      <c r="B8" s="264" t="s">
        <v>90</v>
      </c>
      <c r="C8" s="264">
        <v>7552418181</v>
      </c>
      <c r="D8" s="264" t="s">
        <v>91</v>
      </c>
      <c r="E8" s="264" t="s">
        <v>92</v>
      </c>
      <c r="F8" s="264" t="s">
        <v>214</v>
      </c>
      <c r="G8" s="271" t="s">
        <v>324</v>
      </c>
      <c r="H8" s="264">
        <v>1</v>
      </c>
      <c r="I8" s="264" t="s">
        <v>307</v>
      </c>
      <c r="J8" s="266" t="s">
        <v>7</v>
      </c>
      <c r="K8" s="272">
        <v>45938</v>
      </c>
      <c r="L8" s="266">
        <v>1</v>
      </c>
      <c r="N8" s="267">
        <v>1</v>
      </c>
      <c r="W8" s="264">
        <v>1</v>
      </c>
    </row>
    <row r="9" spans="1:23">
      <c r="A9" s="264">
        <v>8</v>
      </c>
      <c r="B9" s="264" t="s">
        <v>90</v>
      </c>
      <c r="C9" s="264">
        <v>7552942710</v>
      </c>
      <c r="D9" s="264" t="s">
        <v>91</v>
      </c>
      <c r="E9" s="264" t="s">
        <v>118</v>
      </c>
      <c r="F9" s="264" t="s">
        <v>121</v>
      </c>
      <c r="G9" s="271" t="s">
        <v>288</v>
      </c>
      <c r="H9" s="264">
        <v>1</v>
      </c>
      <c r="I9" s="264" t="s">
        <v>308</v>
      </c>
      <c r="J9" s="266" t="s">
        <v>7</v>
      </c>
      <c r="K9" s="272">
        <v>45938</v>
      </c>
      <c r="L9" s="266">
        <v>1</v>
      </c>
      <c r="N9" s="267">
        <v>1</v>
      </c>
      <c r="W9" s="264">
        <v>1</v>
      </c>
    </row>
    <row r="10" spans="1:23">
      <c r="A10" s="264">
        <v>9</v>
      </c>
      <c r="B10" s="264" t="s">
        <v>90</v>
      </c>
      <c r="C10" s="264">
        <v>7552942720</v>
      </c>
      <c r="D10" s="264" t="s">
        <v>91</v>
      </c>
      <c r="E10" s="264" t="s">
        <v>118</v>
      </c>
      <c r="F10" s="264" t="s">
        <v>121</v>
      </c>
      <c r="G10" s="271" t="s">
        <v>288</v>
      </c>
      <c r="H10" s="264">
        <v>1</v>
      </c>
      <c r="I10" s="264" t="s">
        <v>309</v>
      </c>
      <c r="J10" s="266" t="s">
        <v>7</v>
      </c>
      <c r="K10" s="272">
        <v>45938</v>
      </c>
      <c r="L10" s="266">
        <v>1</v>
      </c>
      <c r="N10" s="267">
        <v>1</v>
      </c>
      <c r="W10" s="264">
        <v>1</v>
      </c>
    </row>
    <row r="11" spans="1:23">
      <c r="A11" s="264">
        <v>10</v>
      </c>
      <c r="B11" s="268">
        <v>115</v>
      </c>
      <c r="C11" s="264">
        <v>7552702920</v>
      </c>
      <c r="D11" s="264" t="s">
        <v>91</v>
      </c>
      <c r="E11" s="264" t="s">
        <v>118</v>
      </c>
      <c r="F11" s="264" t="s">
        <v>119</v>
      </c>
      <c r="G11" s="273" t="s">
        <v>327</v>
      </c>
      <c r="H11" s="264">
        <v>3</v>
      </c>
      <c r="I11" s="264" t="s">
        <v>310</v>
      </c>
      <c r="J11" s="266" t="s">
        <v>7</v>
      </c>
      <c r="K11" s="272">
        <v>45939</v>
      </c>
      <c r="L11" s="266">
        <v>6</v>
      </c>
      <c r="O11" s="267">
        <v>6</v>
      </c>
      <c r="S11" s="264">
        <v>18</v>
      </c>
      <c r="T11" s="264">
        <v>24</v>
      </c>
      <c r="W11" s="264">
        <v>48</v>
      </c>
    </row>
    <row r="12" spans="1:23">
      <c r="A12" s="264">
        <v>11</v>
      </c>
      <c r="B12" s="268">
        <v>115</v>
      </c>
      <c r="C12" s="264">
        <v>7552702980</v>
      </c>
      <c r="D12" s="264" t="s">
        <v>91</v>
      </c>
      <c r="E12" s="264" t="s">
        <v>110</v>
      </c>
      <c r="F12" s="264" t="s">
        <v>95</v>
      </c>
      <c r="G12" s="273" t="s">
        <v>327</v>
      </c>
      <c r="H12" s="264">
        <v>3</v>
      </c>
      <c r="I12" s="264" t="s">
        <v>120</v>
      </c>
      <c r="J12" s="266" t="s">
        <v>7</v>
      </c>
      <c r="K12" s="272">
        <v>45939</v>
      </c>
      <c r="L12" s="266">
        <v>12</v>
      </c>
      <c r="O12" s="267">
        <v>12</v>
      </c>
      <c r="R12" s="264">
        <v>12</v>
      </c>
      <c r="S12" s="264">
        <v>12</v>
      </c>
      <c r="T12" s="264">
        <v>12</v>
      </c>
      <c r="W12" s="264">
        <v>48</v>
      </c>
    </row>
    <row r="13" spans="1:23">
      <c r="A13" s="264">
        <v>12</v>
      </c>
      <c r="B13" s="268">
        <v>115</v>
      </c>
      <c r="C13" s="264">
        <v>7552703020</v>
      </c>
      <c r="D13" s="264" t="s">
        <v>91</v>
      </c>
      <c r="E13" s="264" t="s">
        <v>110</v>
      </c>
      <c r="F13" s="264" t="s">
        <v>111</v>
      </c>
      <c r="G13" s="273" t="s">
        <v>327</v>
      </c>
      <c r="H13" s="264">
        <v>3</v>
      </c>
      <c r="I13" s="264" t="s">
        <v>311</v>
      </c>
      <c r="J13" s="266" t="s">
        <v>7</v>
      </c>
      <c r="K13" s="272">
        <v>45939</v>
      </c>
      <c r="L13" s="266">
        <v>6</v>
      </c>
      <c r="O13" s="267">
        <v>6</v>
      </c>
      <c r="S13" s="264">
        <v>6</v>
      </c>
      <c r="W13" s="264">
        <v>12</v>
      </c>
    </row>
    <row r="14" spans="1:23">
      <c r="A14" s="264">
        <v>13</v>
      </c>
      <c r="B14" s="268">
        <v>115</v>
      </c>
      <c r="C14" s="264">
        <v>7552702990</v>
      </c>
      <c r="D14" s="264" t="s">
        <v>91</v>
      </c>
      <c r="E14" s="264" t="s">
        <v>110</v>
      </c>
      <c r="F14" s="264" t="s">
        <v>95</v>
      </c>
      <c r="G14" s="273" t="s">
        <v>327</v>
      </c>
      <c r="H14" s="264">
        <v>3</v>
      </c>
      <c r="I14" s="264" t="s">
        <v>312</v>
      </c>
      <c r="J14" s="266" t="s">
        <v>7</v>
      </c>
      <c r="K14" s="272">
        <v>45940</v>
      </c>
      <c r="L14" s="266">
        <v>18</v>
      </c>
      <c r="P14" s="267">
        <v>18</v>
      </c>
      <c r="W14" s="264">
        <v>18</v>
      </c>
    </row>
    <row r="15" spans="1:23">
      <c r="A15" s="264">
        <v>14</v>
      </c>
      <c r="B15" s="264" t="s">
        <v>94</v>
      </c>
      <c r="C15" s="264">
        <v>7552127064</v>
      </c>
      <c r="D15" s="264" t="s">
        <v>91</v>
      </c>
      <c r="E15" s="264" t="s">
        <v>92</v>
      </c>
      <c r="F15" s="264" t="s">
        <v>96</v>
      </c>
      <c r="G15" s="264" t="s">
        <v>233</v>
      </c>
      <c r="H15" s="264">
        <v>1</v>
      </c>
      <c r="I15" s="264" t="s">
        <v>313</v>
      </c>
      <c r="J15" s="266" t="s">
        <v>7</v>
      </c>
      <c r="K15" s="272">
        <v>45940</v>
      </c>
      <c r="L15" s="266">
        <v>1</v>
      </c>
      <c r="P15" s="267">
        <v>1</v>
      </c>
      <c r="U15" s="264">
        <v>2</v>
      </c>
      <c r="W15" s="264">
        <v>3</v>
      </c>
    </row>
    <row r="16" spans="1:23">
      <c r="A16" s="264">
        <v>15</v>
      </c>
      <c r="B16" s="264" t="s">
        <v>94</v>
      </c>
      <c r="C16" s="264">
        <v>7552338503</v>
      </c>
      <c r="D16" s="264" t="s">
        <v>91</v>
      </c>
      <c r="E16" s="264" t="s">
        <v>92</v>
      </c>
      <c r="F16" s="264" t="s">
        <v>96</v>
      </c>
      <c r="G16" s="264" t="s">
        <v>260</v>
      </c>
      <c r="H16" s="264">
        <v>1</v>
      </c>
      <c r="I16" s="264" t="s">
        <v>93</v>
      </c>
      <c r="J16" s="266" t="s">
        <v>7</v>
      </c>
      <c r="K16" s="272">
        <v>45940</v>
      </c>
      <c r="L16" s="266">
        <v>1</v>
      </c>
      <c r="P16" s="267">
        <v>1</v>
      </c>
      <c r="W16" s="264">
        <v>1</v>
      </c>
    </row>
    <row r="17" spans="1:23">
      <c r="A17" s="264">
        <v>16</v>
      </c>
      <c r="B17" s="264" t="s">
        <v>94</v>
      </c>
      <c r="C17" s="264">
        <v>8978795003</v>
      </c>
      <c r="D17" s="264" t="s">
        <v>91</v>
      </c>
      <c r="E17" s="264" t="s">
        <v>104</v>
      </c>
      <c r="F17" s="264" t="s">
        <v>222</v>
      </c>
      <c r="G17" s="264" t="s">
        <v>234</v>
      </c>
      <c r="H17" s="264">
        <v>1</v>
      </c>
      <c r="I17" s="264" t="s">
        <v>227</v>
      </c>
      <c r="J17" s="266" t="s">
        <v>7</v>
      </c>
      <c r="K17" s="272">
        <v>45940</v>
      </c>
      <c r="L17" s="266">
        <v>1</v>
      </c>
      <c r="P17" s="267">
        <v>1</v>
      </c>
      <c r="W17" s="264">
        <v>1</v>
      </c>
    </row>
    <row r="18" spans="1:23">
      <c r="A18" s="264">
        <v>17</v>
      </c>
      <c r="B18" s="264" t="s">
        <v>94</v>
      </c>
      <c r="C18" s="264">
        <v>7552127023</v>
      </c>
      <c r="D18" s="264" t="s">
        <v>91</v>
      </c>
      <c r="E18" s="264" t="s">
        <v>92</v>
      </c>
      <c r="F18" s="264" t="s">
        <v>96</v>
      </c>
      <c r="G18" s="264" t="s">
        <v>233</v>
      </c>
      <c r="H18" s="264">
        <v>1</v>
      </c>
      <c r="I18" s="264" t="s">
        <v>314</v>
      </c>
      <c r="J18" s="266" t="s">
        <v>7</v>
      </c>
      <c r="K18" s="272">
        <v>45946</v>
      </c>
      <c r="L18" s="266">
        <v>1</v>
      </c>
      <c r="T18" s="267">
        <v>1</v>
      </c>
      <c r="W18" s="264">
        <v>1</v>
      </c>
    </row>
    <row r="19" spans="1:23">
      <c r="A19" s="264">
        <v>18</v>
      </c>
      <c r="B19" s="264" t="s">
        <v>94</v>
      </c>
      <c r="C19" s="264">
        <v>8978794824</v>
      </c>
      <c r="D19" s="264" t="s">
        <v>91</v>
      </c>
      <c r="E19" s="264" t="s">
        <v>92</v>
      </c>
      <c r="F19" s="264" t="s">
        <v>96</v>
      </c>
      <c r="G19" s="264" t="s">
        <v>19</v>
      </c>
      <c r="H19" s="264">
        <v>1</v>
      </c>
      <c r="I19" s="264" t="s">
        <v>315</v>
      </c>
      <c r="J19" s="266" t="s">
        <v>21</v>
      </c>
      <c r="K19" s="272">
        <v>45940</v>
      </c>
      <c r="L19" s="266">
        <v>1</v>
      </c>
      <c r="P19" s="267">
        <v>1</v>
      </c>
      <c r="U19" s="264">
        <v>1</v>
      </c>
      <c r="W19" s="264">
        <v>2</v>
      </c>
    </row>
    <row r="20" spans="1:23">
      <c r="A20" s="264">
        <v>19</v>
      </c>
      <c r="B20" s="264" t="s">
        <v>94</v>
      </c>
      <c r="C20" s="264">
        <v>8978843392</v>
      </c>
      <c r="D20" s="264" t="s">
        <v>91</v>
      </c>
      <c r="E20" s="264" t="s">
        <v>92</v>
      </c>
      <c r="F20" s="264" t="s">
        <v>97</v>
      </c>
      <c r="G20" s="264" t="s">
        <v>19</v>
      </c>
      <c r="H20" s="264">
        <v>1</v>
      </c>
      <c r="I20" s="264" t="s">
        <v>316</v>
      </c>
      <c r="J20" s="266" t="s">
        <v>21</v>
      </c>
      <c r="K20" s="272">
        <v>45940</v>
      </c>
      <c r="L20" s="266">
        <v>1</v>
      </c>
      <c r="P20" s="267">
        <v>1</v>
      </c>
      <c r="W20" s="264">
        <v>1</v>
      </c>
    </row>
    <row r="21" spans="1:23">
      <c r="A21" s="264">
        <v>20</v>
      </c>
      <c r="B21" s="264" t="s">
        <v>90</v>
      </c>
      <c r="C21" s="264">
        <v>8972416592</v>
      </c>
      <c r="D21" s="264" t="s">
        <v>91</v>
      </c>
      <c r="E21" s="264" t="s">
        <v>92</v>
      </c>
      <c r="F21" s="264" t="s">
        <v>96</v>
      </c>
      <c r="G21" s="264" t="s">
        <v>19</v>
      </c>
      <c r="H21" s="264">
        <v>1</v>
      </c>
      <c r="I21" s="264" t="s">
        <v>317</v>
      </c>
      <c r="J21" s="266" t="s">
        <v>21</v>
      </c>
      <c r="K21" s="272">
        <v>45940</v>
      </c>
      <c r="L21" s="266">
        <v>2</v>
      </c>
      <c r="P21" s="267">
        <v>2</v>
      </c>
      <c r="S21" s="264">
        <v>2</v>
      </c>
      <c r="W21" s="264">
        <v>4</v>
      </c>
    </row>
    <row r="22" spans="1:23">
      <c r="A22" s="264">
        <v>21</v>
      </c>
      <c r="B22" s="268">
        <v>115</v>
      </c>
      <c r="C22" s="264">
        <v>8977940183</v>
      </c>
      <c r="D22" s="264" t="s">
        <v>91</v>
      </c>
      <c r="E22" s="264" t="s">
        <v>104</v>
      </c>
      <c r="F22" s="264" t="s">
        <v>105</v>
      </c>
      <c r="G22" s="264" t="s">
        <v>19</v>
      </c>
      <c r="H22" s="264">
        <v>1</v>
      </c>
      <c r="I22" s="264" t="s">
        <v>318</v>
      </c>
      <c r="J22" s="266" t="s">
        <v>21</v>
      </c>
      <c r="K22" s="272">
        <v>45941</v>
      </c>
      <c r="L22" s="266">
        <v>1</v>
      </c>
      <c r="Q22" s="267">
        <v>1</v>
      </c>
      <c r="W22" s="264">
        <v>1</v>
      </c>
    </row>
    <row r="23" spans="1:23">
      <c r="A23" s="264">
        <v>22</v>
      </c>
      <c r="B23" s="264" t="s">
        <v>94</v>
      </c>
      <c r="C23" s="264">
        <v>8977943322</v>
      </c>
      <c r="D23" s="264" t="s">
        <v>91</v>
      </c>
      <c r="E23" s="264" t="s">
        <v>92</v>
      </c>
      <c r="F23" s="264" t="s">
        <v>97</v>
      </c>
      <c r="G23" s="264" t="s">
        <v>19</v>
      </c>
      <c r="H23" s="264">
        <v>1</v>
      </c>
      <c r="I23" s="264" t="s">
        <v>319</v>
      </c>
      <c r="J23" s="266" t="s">
        <v>21</v>
      </c>
      <c r="K23" s="272">
        <v>45941</v>
      </c>
      <c r="L23" s="266">
        <v>1</v>
      </c>
      <c r="Q23" s="267">
        <v>1</v>
      </c>
      <c r="S23" s="264">
        <v>1</v>
      </c>
      <c r="W23" s="264">
        <v>2</v>
      </c>
    </row>
    <row r="24" spans="1:23">
      <c r="A24" s="264">
        <v>23</v>
      </c>
      <c r="B24" s="264" t="s">
        <v>94</v>
      </c>
      <c r="C24" s="264">
        <v>8977944063</v>
      </c>
      <c r="D24" s="264" t="s">
        <v>91</v>
      </c>
      <c r="E24" s="264" t="s">
        <v>92</v>
      </c>
      <c r="F24" s="264" t="s">
        <v>95</v>
      </c>
      <c r="G24" s="264" t="s">
        <v>19</v>
      </c>
      <c r="H24" s="264">
        <v>1</v>
      </c>
      <c r="I24" s="264" t="s">
        <v>320</v>
      </c>
      <c r="J24" s="266" t="s">
        <v>21</v>
      </c>
      <c r="K24" s="272">
        <v>45945</v>
      </c>
      <c r="L24" s="266">
        <v>1</v>
      </c>
      <c r="S24" s="267">
        <v>1</v>
      </c>
      <c r="U24" s="264">
        <v>1</v>
      </c>
      <c r="W24" s="264">
        <v>2</v>
      </c>
    </row>
    <row r="25" spans="1:23">
      <c r="A25" s="264">
        <v>24</v>
      </c>
      <c r="B25" s="264" t="s">
        <v>94</v>
      </c>
      <c r="C25" s="264">
        <v>8978794554</v>
      </c>
      <c r="D25" s="264" t="s">
        <v>91</v>
      </c>
      <c r="E25" s="264" t="s">
        <v>92</v>
      </c>
      <c r="F25" s="264" t="s">
        <v>96</v>
      </c>
      <c r="G25" s="264" t="s">
        <v>19</v>
      </c>
      <c r="H25" s="264">
        <v>1</v>
      </c>
      <c r="I25" s="264" t="s">
        <v>321</v>
      </c>
      <c r="J25" s="266" t="s">
        <v>21</v>
      </c>
      <c r="K25" s="272">
        <v>45945</v>
      </c>
      <c r="L25" s="266">
        <v>1</v>
      </c>
      <c r="S25" s="267">
        <v>1</v>
      </c>
      <c r="W25" s="264">
        <v>1</v>
      </c>
    </row>
    <row r="26" spans="1:23">
      <c r="A26" s="264">
        <v>25</v>
      </c>
      <c r="B26" s="264" t="s">
        <v>94</v>
      </c>
      <c r="C26" s="264">
        <v>7551885852</v>
      </c>
      <c r="D26" s="264" t="s">
        <v>91</v>
      </c>
      <c r="E26" s="264" t="s">
        <v>92</v>
      </c>
      <c r="F26" s="264" t="s">
        <v>96</v>
      </c>
      <c r="G26" s="264" t="s">
        <v>19</v>
      </c>
      <c r="H26" s="264">
        <v>1</v>
      </c>
      <c r="I26" s="264" t="s">
        <v>322</v>
      </c>
      <c r="J26" s="266" t="s">
        <v>21</v>
      </c>
      <c r="K26" s="272">
        <v>45946</v>
      </c>
      <c r="L26" s="266">
        <v>1</v>
      </c>
      <c r="T26" s="267">
        <v>1</v>
      </c>
      <c r="W26" s="264">
        <v>1</v>
      </c>
    </row>
    <row r="27" spans="1:23" s="269" customFormat="1">
      <c r="A27" s="264">
        <v>26</v>
      </c>
      <c r="B27" s="264" t="s">
        <v>94</v>
      </c>
      <c r="C27" s="264">
        <v>7551909350</v>
      </c>
      <c r="D27" s="264" t="s">
        <v>91</v>
      </c>
      <c r="E27" s="264" t="s">
        <v>92</v>
      </c>
      <c r="F27" s="264" t="s">
        <v>97</v>
      </c>
      <c r="G27" s="264" t="s">
        <v>19</v>
      </c>
      <c r="H27" s="264">
        <v>1</v>
      </c>
      <c r="I27" s="264" t="s">
        <v>228</v>
      </c>
      <c r="J27" s="266" t="s">
        <v>21</v>
      </c>
      <c r="K27" s="272">
        <v>45947</v>
      </c>
      <c r="L27" s="266">
        <v>1</v>
      </c>
      <c r="M27" s="264"/>
      <c r="N27" s="264"/>
      <c r="O27" s="264"/>
      <c r="P27" s="264"/>
      <c r="Q27" s="264"/>
      <c r="R27" s="264"/>
      <c r="S27" s="264"/>
      <c r="T27" s="264"/>
      <c r="U27" s="267">
        <v>1</v>
      </c>
      <c r="V27" s="264"/>
      <c r="W27" s="264">
        <v>1</v>
      </c>
    </row>
    <row r="28" spans="1:23" s="269" customFormat="1">
      <c r="A28" s="264">
        <v>27</v>
      </c>
      <c r="B28" s="264" t="s">
        <v>94</v>
      </c>
      <c r="C28" s="264">
        <v>7551910010</v>
      </c>
      <c r="D28" s="264" t="s">
        <v>91</v>
      </c>
      <c r="E28" s="264" t="s">
        <v>92</v>
      </c>
      <c r="F28" s="264" t="s">
        <v>95</v>
      </c>
      <c r="G28" s="264" t="s">
        <v>19</v>
      </c>
      <c r="H28" s="264">
        <v>1</v>
      </c>
      <c r="I28" s="264" t="s">
        <v>323</v>
      </c>
      <c r="J28" s="266" t="s">
        <v>21</v>
      </c>
      <c r="K28" s="272">
        <v>45947</v>
      </c>
      <c r="L28" s="266">
        <v>1</v>
      </c>
      <c r="M28" s="264"/>
      <c r="N28" s="264"/>
      <c r="O28" s="264"/>
      <c r="P28" s="264"/>
      <c r="Q28" s="264"/>
      <c r="R28" s="264"/>
      <c r="S28" s="264"/>
      <c r="T28" s="264"/>
      <c r="U28" s="267">
        <v>1</v>
      </c>
      <c r="V28" s="264"/>
      <c r="W28" s="264">
        <v>1</v>
      </c>
    </row>
    <row r="29" spans="1:23">
      <c r="A29" s="264">
        <v>28</v>
      </c>
      <c r="B29" s="269" t="s">
        <v>90</v>
      </c>
      <c r="C29" s="269">
        <v>7552434130</v>
      </c>
      <c r="D29" s="269" t="s">
        <v>91</v>
      </c>
      <c r="E29" s="269" t="s">
        <v>99</v>
      </c>
      <c r="F29" s="269" t="s">
        <v>100</v>
      </c>
      <c r="G29" s="269" t="s">
        <v>19</v>
      </c>
      <c r="H29" s="269">
        <v>3</v>
      </c>
      <c r="I29" s="269" t="s">
        <v>101</v>
      </c>
      <c r="J29" s="270" t="s">
        <v>21</v>
      </c>
      <c r="K29" s="270">
        <v>1010</v>
      </c>
      <c r="L29" s="270">
        <v>6</v>
      </c>
      <c r="M29" s="269"/>
      <c r="N29" s="269"/>
      <c r="O29" s="269"/>
      <c r="P29" s="269">
        <v>6</v>
      </c>
      <c r="Q29" s="269"/>
      <c r="R29" s="269"/>
      <c r="S29" s="269"/>
      <c r="T29" s="269"/>
      <c r="U29" s="269"/>
      <c r="V29" s="269"/>
      <c r="W29" s="269">
        <v>6</v>
      </c>
    </row>
    <row r="30" spans="1:23">
      <c r="A30" s="264">
        <v>29</v>
      </c>
      <c r="B30" s="269" t="s">
        <v>90</v>
      </c>
      <c r="C30" s="269">
        <v>7552434150</v>
      </c>
      <c r="D30" s="269" t="s">
        <v>91</v>
      </c>
      <c r="E30" s="269" t="s">
        <v>99</v>
      </c>
      <c r="F30" s="269" t="s">
        <v>100</v>
      </c>
      <c r="G30" s="269" t="s">
        <v>19</v>
      </c>
      <c r="H30" s="269">
        <v>3</v>
      </c>
      <c r="I30" s="269" t="s">
        <v>102</v>
      </c>
      <c r="J30" s="270" t="s">
        <v>21</v>
      </c>
      <c r="K30" s="270">
        <v>1014</v>
      </c>
      <c r="L30" s="270">
        <v>12</v>
      </c>
      <c r="M30" s="269"/>
      <c r="N30" s="269"/>
      <c r="O30" s="269"/>
      <c r="P30" s="269"/>
      <c r="Q30" s="269"/>
      <c r="R30" s="269">
        <v>12</v>
      </c>
      <c r="S30" s="269">
        <v>6</v>
      </c>
      <c r="T30" s="269">
        <v>6</v>
      </c>
      <c r="U30" s="269"/>
      <c r="V30" s="269"/>
      <c r="W30" s="269">
        <v>24</v>
      </c>
    </row>
  </sheetData>
  <phoneticPr fontId="5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KH180"/>
  <sheetViews>
    <sheetView showGridLines="0" topLeftCell="A2" zoomScale="55" zoomScaleNormal="55" workbookViewId="0">
      <pane xSplit="56" ySplit="4" topLeftCell="FQ105" activePane="bottomRight" state="frozen"/>
      <selection activeCell="C2" sqref="C2"/>
      <selection pane="topRight" activeCell="BE2" sqref="BE2"/>
      <selection pane="bottomLeft" activeCell="C7" sqref="C7"/>
      <selection pane="bottomRight" activeCell="GU122" sqref="GU122"/>
    </sheetView>
  </sheetViews>
  <sheetFormatPr defaultColWidth="9.77734375" defaultRowHeight="18"/>
  <cols>
    <col min="1" max="1" width="8.44140625" style="79" customWidth="1"/>
    <col min="2" max="2" width="19.44140625" style="79" customWidth="1"/>
    <col min="3" max="3" width="24.44140625" style="79" customWidth="1"/>
    <col min="4" max="4" width="13.33203125" style="79" customWidth="1"/>
    <col min="5" max="42" width="5.109375" style="79" hidden="1" customWidth="1"/>
    <col min="43" max="43" width="5.6640625" style="79" hidden="1" customWidth="1"/>
    <col min="44" max="56" width="5.109375" style="79" hidden="1" customWidth="1"/>
    <col min="57" max="135" width="4.44140625" style="79" hidden="1" customWidth="1"/>
    <col min="136" max="451" width="4.44140625" style="79" customWidth="1"/>
    <col min="452" max="16384" width="9.77734375" style="79"/>
  </cols>
  <sheetData>
    <row r="1" spans="1:294" hidden="1">
      <c r="C1" s="80"/>
      <c r="D1" s="80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 t="s">
        <v>123</v>
      </c>
      <c r="T1" s="81"/>
      <c r="U1" s="81"/>
      <c r="V1" s="81"/>
      <c r="W1" s="81"/>
      <c r="X1" s="81" t="s">
        <v>123</v>
      </c>
      <c r="Y1" s="81"/>
      <c r="Z1" s="81"/>
      <c r="AA1" s="81"/>
      <c r="AB1" s="81" t="s">
        <v>123</v>
      </c>
      <c r="AC1" s="81"/>
      <c r="AD1" s="81"/>
      <c r="AE1" s="81"/>
      <c r="AF1" s="81" t="s">
        <v>123</v>
      </c>
      <c r="AG1" s="81"/>
      <c r="AH1" s="81"/>
      <c r="AI1" s="81"/>
      <c r="AJ1" s="81" t="s">
        <v>123</v>
      </c>
      <c r="AK1" s="81"/>
      <c r="AL1" s="81"/>
      <c r="AM1" s="81"/>
      <c r="AN1" s="81"/>
      <c r="AO1" s="81" t="s">
        <v>123</v>
      </c>
      <c r="AP1" s="81"/>
      <c r="AQ1" s="81"/>
      <c r="AR1" s="81"/>
      <c r="AS1" s="81" t="s">
        <v>123</v>
      </c>
      <c r="AT1" s="81"/>
      <c r="AU1" s="81"/>
      <c r="AV1" s="81"/>
      <c r="AW1" s="81" t="s">
        <v>123</v>
      </c>
      <c r="AX1" s="81"/>
      <c r="AY1" s="81"/>
      <c r="AZ1" s="81"/>
      <c r="BA1" s="81" t="s">
        <v>123</v>
      </c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</row>
    <row r="2" spans="1:294" ht="22.5" customHeight="1">
      <c r="C2" s="82"/>
      <c r="D2" s="82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3" t="s">
        <v>124</v>
      </c>
      <c r="R2" s="81"/>
      <c r="S2" s="81"/>
      <c r="T2" s="81"/>
      <c r="U2" s="81"/>
      <c r="V2" s="81"/>
      <c r="W2" s="84" t="s">
        <v>125</v>
      </c>
      <c r="X2" s="81"/>
      <c r="Y2" s="81"/>
      <c r="Z2" s="81"/>
      <c r="AA2" s="84" t="s">
        <v>125</v>
      </c>
      <c r="AB2" s="81"/>
      <c r="AC2" s="81"/>
      <c r="AD2" s="81"/>
      <c r="AE2" s="84" t="s">
        <v>125</v>
      </c>
      <c r="AF2" s="81"/>
      <c r="AG2" s="81"/>
      <c r="AH2" s="81"/>
      <c r="AI2" s="84" t="s">
        <v>125</v>
      </c>
      <c r="AJ2" s="81"/>
      <c r="AK2" s="81"/>
      <c r="AL2" s="83" t="s">
        <v>126</v>
      </c>
      <c r="AM2" s="83"/>
      <c r="AN2" s="84" t="s">
        <v>125</v>
      </c>
      <c r="AO2" s="81"/>
      <c r="AP2" s="81"/>
      <c r="AQ2" s="83" t="s">
        <v>124</v>
      </c>
      <c r="AR2" s="84" t="s">
        <v>125</v>
      </c>
      <c r="AS2" s="81"/>
      <c r="AT2" s="81"/>
      <c r="AU2" s="81"/>
      <c r="AV2" s="84" t="s">
        <v>125</v>
      </c>
      <c r="AW2" s="81"/>
      <c r="AX2" s="81"/>
      <c r="AY2" s="81"/>
      <c r="AZ2" s="84" t="s">
        <v>125</v>
      </c>
      <c r="BA2" s="81"/>
      <c r="BB2" s="81"/>
      <c r="BC2" s="81"/>
      <c r="BD2" s="81"/>
      <c r="BE2" s="81" t="s">
        <v>127</v>
      </c>
      <c r="BF2" s="81"/>
      <c r="BG2" s="81"/>
      <c r="BH2" s="81"/>
      <c r="BI2" s="81"/>
      <c r="BJ2" s="81" t="s">
        <v>127</v>
      </c>
      <c r="BK2" s="81"/>
      <c r="BL2" s="81"/>
      <c r="BM2" s="81"/>
      <c r="BN2" s="81" t="s">
        <v>127</v>
      </c>
      <c r="BO2" s="81"/>
      <c r="BP2" s="81"/>
      <c r="BQ2" s="81"/>
      <c r="BR2" s="81" t="s">
        <v>128</v>
      </c>
      <c r="BS2" s="81"/>
      <c r="BT2" s="81"/>
      <c r="BU2" s="81"/>
      <c r="BV2" s="81" t="s">
        <v>127</v>
      </c>
      <c r="BW2" s="81"/>
      <c r="BX2" s="81"/>
      <c r="BY2" s="81"/>
      <c r="BZ2" s="81"/>
      <c r="CA2" s="81" t="s">
        <v>127</v>
      </c>
      <c r="CB2" s="81"/>
      <c r="CC2" s="81"/>
      <c r="CD2" s="81"/>
      <c r="CF2" s="81" t="s">
        <v>127</v>
      </c>
      <c r="CJ2" s="81" t="s">
        <v>127</v>
      </c>
      <c r="CN2" s="81"/>
      <c r="CO2" s="81"/>
    </row>
    <row r="3" spans="1:294" ht="4.5" customHeight="1">
      <c r="C3" s="82"/>
      <c r="D3" s="82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3"/>
      <c r="R3" s="81"/>
      <c r="S3" s="81"/>
      <c r="T3" s="81"/>
      <c r="U3" s="81"/>
      <c r="V3" s="81"/>
      <c r="W3" s="84"/>
      <c r="X3" s="81"/>
      <c r="Y3" s="81"/>
      <c r="Z3" s="81"/>
      <c r="AA3" s="84"/>
      <c r="AB3" s="81"/>
      <c r="AC3" s="81"/>
      <c r="AD3" s="81"/>
      <c r="AE3" s="84"/>
      <c r="AF3" s="81"/>
      <c r="AG3" s="81"/>
      <c r="AH3" s="81"/>
      <c r="AI3" s="84"/>
      <c r="AJ3" s="81"/>
      <c r="AK3" s="81"/>
      <c r="AL3" s="83"/>
      <c r="AM3" s="83"/>
      <c r="AN3" s="84"/>
      <c r="AO3" s="81"/>
      <c r="AP3" s="81"/>
      <c r="AQ3" s="83"/>
      <c r="AR3" s="84"/>
      <c r="AS3" s="81"/>
      <c r="AT3" s="81"/>
      <c r="AU3" s="81"/>
      <c r="AV3" s="84"/>
      <c r="AW3" s="81"/>
      <c r="AX3" s="81"/>
      <c r="AY3" s="81"/>
      <c r="AZ3" s="84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</row>
    <row r="4" spans="1:294" s="85" customFormat="1" ht="24.6">
      <c r="C4" s="86"/>
      <c r="D4" s="87"/>
      <c r="E4" s="88" t="s">
        <v>129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90"/>
      <c r="AM4" s="90"/>
      <c r="AN4" s="89"/>
      <c r="AO4" s="89"/>
      <c r="AP4" s="89"/>
      <c r="AQ4" s="90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91"/>
      <c r="BE4" s="92">
        <v>2023</v>
      </c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91"/>
      <c r="CE4" s="92">
        <v>2024</v>
      </c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4"/>
      <c r="EF4" s="92">
        <v>2025</v>
      </c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5"/>
      <c r="FA4" s="93"/>
      <c r="FB4" s="93"/>
      <c r="FC4" s="93"/>
      <c r="FD4" s="95"/>
      <c r="FE4" s="93"/>
      <c r="FF4" s="93"/>
      <c r="FG4" s="95"/>
      <c r="FH4" s="95"/>
      <c r="FI4" s="95"/>
      <c r="FJ4" s="93"/>
      <c r="FK4" s="95"/>
      <c r="FL4" s="95"/>
      <c r="FM4" s="95"/>
      <c r="FN4" s="95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/>
      <c r="GB4" s="93"/>
      <c r="GC4" s="93"/>
      <c r="GD4" s="93"/>
      <c r="GE4" s="93"/>
      <c r="GF4" s="92">
        <v>2026</v>
      </c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  <c r="GS4" s="93"/>
      <c r="GT4" s="93"/>
      <c r="GU4" s="93"/>
      <c r="GV4" s="93"/>
      <c r="GW4" s="93"/>
      <c r="GX4" s="93"/>
      <c r="GY4" s="93"/>
      <c r="GZ4" s="95"/>
      <c r="HA4" s="93"/>
      <c r="HB4" s="93"/>
      <c r="HC4" s="93"/>
      <c r="HD4" s="95"/>
      <c r="HE4" s="93"/>
      <c r="HF4" s="93"/>
      <c r="HG4" s="95"/>
      <c r="HH4" s="95"/>
      <c r="HI4" s="95"/>
      <c r="HJ4" s="93"/>
      <c r="HK4" s="95"/>
      <c r="HL4" s="95"/>
      <c r="HM4" s="95"/>
      <c r="HN4" s="95"/>
      <c r="HO4" s="93"/>
      <c r="HP4" s="93"/>
      <c r="HQ4" s="93"/>
      <c r="HR4" s="93"/>
      <c r="HS4" s="93"/>
      <c r="HT4" s="93"/>
      <c r="HU4" s="93"/>
      <c r="HV4" s="93"/>
      <c r="HW4" s="93"/>
      <c r="HX4" s="93"/>
      <c r="HY4" s="93"/>
      <c r="HZ4" s="93"/>
      <c r="IA4" s="93"/>
      <c r="IB4" s="93"/>
      <c r="IC4" s="93"/>
      <c r="ID4" s="93"/>
      <c r="IE4" s="93"/>
      <c r="IF4" s="92">
        <v>2027</v>
      </c>
      <c r="IG4" s="93"/>
      <c r="IH4" s="93"/>
      <c r="II4" s="93"/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3"/>
      <c r="IV4" s="93"/>
      <c r="IW4" s="93"/>
      <c r="IX4" s="93"/>
      <c r="IY4" s="93"/>
      <c r="IZ4" s="95"/>
      <c r="JA4" s="93"/>
      <c r="JB4" s="93"/>
      <c r="JC4" s="93"/>
      <c r="JD4" s="95"/>
      <c r="JE4" s="93"/>
      <c r="JF4" s="93"/>
      <c r="JG4" s="95"/>
      <c r="JH4" s="95"/>
      <c r="JI4" s="95"/>
      <c r="JJ4" s="93"/>
      <c r="JK4" s="95"/>
      <c r="JL4" s="95"/>
      <c r="JM4" s="95"/>
      <c r="JN4" s="95"/>
      <c r="JO4" s="93"/>
      <c r="JP4" s="93"/>
      <c r="JQ4" s="93"/>
      <c r="JR4" s="93"/>
      <c r="JS4" s="93"/>
      <c r="JT4" s="93"/>
      <c r="JU4" s="93"/>
      <c r="JV4" s="93"/>
      <c r="JW4" s="93"/>
      <c r="JX4" s="93"/>
      <c r="JY4" s="93"/>
      <c r="JZ4" s="93"/>
      <c r="KA4" s="93"/>
      <c r="KB4" s="93"/>
      <c r="KC4" s="93"/>
      <c r="KD4" s="94"/>
      <c r="KE4" s="92">
        <v>2028</v>
      </c>
      <c r="KF4" s="311"/>
      <c r="KG4" s="311"/>
      <c r="KH4" s="312"/>
    </row>
    <row r="5" spans="1:294" ht="24.6" customHeight="1" thickBot="1">
      <c r="C5" s="96"/>
      <c r="D5" s="97"/>
      <c r="E5" s="98">
        <v>1</v>
      </c>
      <c r="F5" s="99"/>
      <c r="G5" s="99"/>
      <c r="H5" s="99"/>
      <c r="I5" s="100"/>
      <c r="J5" s="101" t="e">
        <f>#REF!</f>
        <v>#REF!</v>
      </c>
      <c r="K5" s="99"/>
      <c r="L5" s="99"/>
      <c r="M5" s="100"/>
      <c r="N5" s="101" t="e">
        <f>#REF!</f>
        <v>#REF!</v>
      </c>
      <c r="O5" s="99"/>
      <c r="P5" s="99"/>
      <c r="Q5" s="102"/>
      <c r="R5" s="98" t="e">
        <f>#REF!</f>
        <v>#REF!</v>
      </c>
      <c r="S5" s="99"/>
      <c r="T5" s="99"/>
      <c r="U5" s="100"/>
      <c r="V5" s="101" t="e">
        <f>#REF!</f>
        <v>#REF!</v>
      </c>
      <c r="W5" s="99"/>
      <c r="X5" s="99"/>
      <c r="Y5" s="99"/>
      <c r="Z5" s="99"/>
      <c r="AA5" s="98" t="e">
        <f>#REF!</f>
        <v>#REF!</v>
      </c>
      <c r="AB5" s="99"/>
      <c r="AC5" s="99"/>
      <c r="AD5" s="100"/>
      <c r="AE5" s="101" t="e">
        <f>#REF!</f>
        <v>#REF!</v>
      </c>
      <c r="AF5" s="99"/>
      <c r="AG5" s="99"/>
      <c r="AH5" s="99"/>
      <c r="AI5" s="98" t="e">
        <f>#REF!</f>
        <v>#REF!</v>
      </c>
      <c r="AJ5" s="99"/>
      <c r="AK5" s="99"/>
      <c r="AL5" s="102"/>
      <c r="AM5" s="103"/>
      <c r="AN5" s="101" t="e">
        <f>#REF!</f>
        <v>#REF!</v>
      </c>
      <c r="AO5" s="99"/>
      <c r="AP5" s="99"/>
      <c r="AQ5" s="102"/>
      <c r="AR5" s="98" t="e">
        <f>#REF!</f>
        <v>#REF!</v>
      </c>
      <c r="AS5" s="99"/>
      <c r="AT5" s="99"/>
      <c r="AU5" s="99"/>
      <c r="AV5" s="100"/>
      <c r="AW5" s="101" t="e">
        <f>#REF!</f>
        <v>#REF!</v>
      </c>
      <c r="AX5" s="99"/>
      <c r="AY5" s="99"/>
      <c r="AZ5" s="99"/>
      <c r="BA5" s="98" t="e">
        <f>#REF!</f>
        <v>#REF!</v>
      </c>
      <c r="BB5" s="99"/>
      <c r="BC5" s="99"/>
      <c r="BD5" s="100"/>
      <c r="BE5" s="104" t="s">
        <v>130</v>
      </c>
      <c r="BF5" s="105"/>
      <c r="BG5" s="105"/>
      <c r="BH5" s="105"/>
      <c r="BI5" s="106"/>
      <c r="BJ5" s="106" t="s">
        <v>131</v>
      </c>
      <c r="BK5" s="105"/>
      <c r="BL5" s="105"/>
      <c r="BM5" s="105"/>
      <c r="BN5" s="107" t="s">
        <v>132</v>
      </c>
      <c r="BO5" s="105"/>
      <c r="BP5" s="105"/>
      <c r="BQ5" s="106"/>
      <c r="BR5" s="105" t="s">
        <v>133</v>
      </c>
      <c r="BS5" s="105"/>
      <c r="BT5" s="105"/>
      <c r="BU5" s="105"/>
      <c r="BV5" s="105"/>
      <c r="BW5" s="107" t="s">
        <v>134</v>
      </c>
      <c r="BX5" s="105"/>
      <c r="BY5" s="105"/>
      <c r="BZ5" s="106"/>
      <c r="CA5" s="105" t="s">
        <v>135</v>
      </c>
      <c r="CB5" s="105"/>
      <c r="CC5" s="105"/>
      <c r="CD5" s="106"/>
      <c r="CE5" s="108" t="s">
        <v>136</v>
      </c>
      <c r="CF5" s="109"/>
      <c r="CG5" s="109"/>
      <c r="CH5" s="109"/>
      <c r="CI5" s="110"/>
      <c r="CJ5" s="109" t="s">
        <v>137</v>
      </c>
      <c r="CK5" s="109"/>
      <c r="CL5" s="109"/>
      <c r="CM5" s="109"/>
      <c r="CN5" s="111" t="s">
        <v>138</v>
      </c>
      <c r="CO5" s="112"/>
      <c r="CP5" s="112"/>
      <c r="CQ5" s="112"/>
      <c r="CR5" s="111" t="s">
        <v>139</v>
      </c>
      <c r="CS5" s="112"/>
      <c r="CT5" s="112"/>
      <c r="CU5" s="112"/>
      <c r="CV5" s="112"/>
      <c r="CW5" s="111" t="s">
        <v>140</v>
      </c>
      <c r="CX5" s="112"/>
      <c r="CY5" s="112"/>
      <c r="CZ5" s="113"/>
      <c r="DA5" s="111" t="s">
        <v>141</v>
      </c>
      <c r="DB5" s="112"/>
      <c r="DC5" s="112"/>
      <c r="DD5" s="112"/>
      <c r="DE5" s="111" t="s">
        <v>142</v>
      </c>
      <c r="DF5" s="112"/>
      <c r="DG5" s="112"/>
      <c r="DH5" s="112"/>
      <c r="DI5" s="112"/>
      <c r="DJ5" s="111" t="s">
        <v>143</v>
      </c>
      <c r="DK5" s="112"/>
      <c r="DL5" s="112"/>
      <c r="DM5" s="113"/>
      <c r="DN5" s="111" t="s">
        <v>144</v>
      </c>
      <c r="DO5" s="112"/>
      <c r="DP5" s="114"/>
      <c r="DQ5" s="114"/>
      <c r="DR5" s="114"/>
      <c r="DS5" s="111" t="s">
        <v>145</v>
      </c>
      <c r="DT5" s="112"/>
      <c r="DU5" s="112"/>
      <c r="DV5" s="112"/>
      <c r="DW5" s="111" t="s">
        <v>146</v>
      </c>
      <c r="DX5" s="114"/>
      <c r="DY5" s="114"/>
      <c r="DZ5" s="114"/>
      <c r="EA5" s="111" t="s">
        <v>147</v>
      </c>
      <c r="EB5" s="114"/>
      <c r="EC5" s="114"/>
      <c r="ED5" s="114"/>
      <c r="EE5" s="115"/>
      <c r="EF5" s="116" t="s">
        <v>148</v>
      </c>
      <c r="EG5" s="117"/>
      <c r="EH5" s="117"/>
      <c r="EI5" s="117"/>
      <c r="EJ5" s="116" t="s">
        <v>149</v>
      </c>
      <c r="EK5" s="118"/>
      <c r="EL5" s="118"/>
      <c r="EM5" s="118"/>
      <c r="EN5" s="119" t="s">
        <v>150</v>
      </c>
      <c r="EO5" s="118"/>
      <c r="EP5" s="118"/>
      <c r="EQ5" s="118"/>
      <c r="ER5" s="120"/>
      <c r="ES5" s="118" t="s">
        <v>151</v>
      </c>
      <c r="ET5" s="118"/>
      <c r="EU5" s="118"/>
      <c r="EV5" s="118"/>
      <c r="EW5" s="119" t="s">
        <v>152</v>
      </c>
      <c r="EX5" s="118"/>
      <c r="EY5" s="118"/>
      <c r="EZ5" s="120"/>
      <c r="FA5" s="118" t="s">
        <v>153</v>
      </c>
      <c r="FB5" s="118"/>
      <c r="FC5" s="118"/>
      <c r="FD5" s="118"/>
      <c r="FE5" s="118"/>
      <c r="FF5" s="119" t="s">
        <v>154</v>
      </c>
      <c r="FG5" s="118"/>
      <c r="FH5" s="118"/>
      <c r="FI5" s="120"/>
      <c r="FJ5" s="118" t="s">
        <v>155</v>
      </c>
      <c r="FK5" s="118"/>
      <c r="FL5" s="118"/>
      <c r="FM5" s="118"/>
      <c r="FN5" s="119" t="s">
        <v>156</v>
      </c>
      <c r="FO5" s="118"/>
      <c r="FP5" s="118"/>
      <c r="FQ5" s="118"/>
      <c r="FR5" s="120"/>
      <c r="FS5" s="118" t="s">
        <v>157</v>
      </c>
      <c r="FT5" s="118"/>
      <c r="FU5" s="118"/>
      <c r="FV5" s="118"/>
      <c r="FW5" s="119" t="s">
        <v>158</v>
      </c>
      <c r="FX5" s="118"/>
      <c r="FY5" s="118"/>
      <c r="FZ5" s="120"/>
      <c r="GA5" s="119" t="s">
        <v>135</v>
      </c>
      <c r="GB5" s="118"/>
      <c r="GC5" s="118"/>
      <c r="GD5" s="118"/>
      <c r="GE5" s="120"/>
      <c r="GF5" s="313" t="s">
        <v>148</v>
      </c>
      <c r="GG5" s="314"/>
      <c r="GH5" s="314"/>
      <c r="GI5" s="314"/>
      <c r="GJ5" s="313" t="s">
        <v>149</v>
      </c>
      <c r="GK5" s="315"/>
      <c r="GL5" s="315"/>
      <c r="GM5" s="315"/>
      <c r="GN5" s="316" t="s">
        <v>150</v>
      </c>
      <c r="GO5" s="315"/>
      <c r="GP5" s="315"/>
      <c r="GQ5" s="315"/>
      <c r="GR5" s="315"/>
      <c r="GS5" s="316" t="s">
        <v>151</v>
      </c>
      <c r="GT5" s="315"/>
      <c r="GU5" s="315"/>
      <c r="GV5" s="317"/>
      <c r="GW5" s="315" t="s">
        <v>152</v>
      </c>
      <c r="GX5" s="315"/>
      <c r="GY5" s="315"/>
      <c r="GZ5" s="315"/>
      <c r="HA5" s="316" t="s">
        <v>153</v>
      </c>
      <c r="HB5" s="315"/>
      <c r="HC5" s="315"/>
      <c r="HD5" s="315"/>
      <c r="HE5" s="317"/>
      <c r="HF5" s="315" t="s">
        <v>154</v>
      </c>
      <c r="HG5" s="315"/>
      <c r="HH5" s="315"/>
      <c r="HI5" s="315"/>
      <c r="HJ5" s="316" t="s">
        <v>155</v>
      </c>
      <c r="HK5" s="315"/>
      <c r="HL5" s="315"/>
      <c r="HM5" s="317"/>
      <c r="HN5" s="315" t="s">
        <v>156</v>
      </c>
      <c r="HO5" s="315"/>
      <c r="HP5" s="315"/>
      <c r="HQ5" s="315"/>
      <c r="HR5" s="315"/>
      <c r="HS5" s="316" t="s">
        <v>157</v>
      </c>
      <c r="HT5" s="315"/>
      <c r="HU5" s="315"/>
      <c r="HV5" s="317"/>
      <c r="HW5" s="315" t="s">
        <v>158</v>
      </c>
      <c r="HX5" s="315"/>
      <c r="HY5" s="315"/>
      <c r="HZ5" s="315"/>
      <c r="IA5" s="316" t="s">
        <v>135</v>
      </c>
      <c r="IB5" s="315"/>
      <c r="IC5" s="315"/>
      <c r="ID5" s="315"/>
      <c r="IE5" s="315"/>
      <c r="IF5" s="116" t="s">
        <v>148</v>
      </c>
      <c r="IG5" s="117"/>
      <c r="IH5" s="117"/>
      <c r="II5" s="121"/>
      <c r="IJ5" s="122" t="s">
        <v>149</v>
      </c>
      <c r="IK5" s="118"/>
      <c r="IL5" s="118"/>
      <c r="IM5" s="118"/>
      <c r="IN5" s="119" t="s">
        <v>150</v>
      </c>
      <c r="IO5" s="118"/>
      <c r="IP5" s="118"/>
      <c r="IQ5" s="118"/>
      <c r="IR5" s="120"/>
      <c r="IS5" s="118" t="s">
        <v>151</v>
      </c>
      <c r="IT5" s="118"/>
      <c r="IU5" s="118"/>
      <c r="IV5" s="118"/>
      <c r="IW5" s="119" t="s">
        <v>152</v>
      </c>
      <c r="IX5" s="118"/>
      <c r="IY5" s="118"/>
      <c r="IZ5" s="120"/>
      <c r="JA5" s="118" t="s">
        <v>153</v>
      </c>
      <c r="JB5" s="118"/>
      <c r="JC5" s="118"/>
      <c r="JD5" s="118"/>
      <c r="JE5" s="118"/>
      <c r="JF5" s="119" t="s">
        <v>154</v>
      </c>
      <c r="JG5" s="118"/>
      <c r="JH5" s="118"/>
      <c r="JI5" s="120"/>
      <c r="JJ5" s="118" t="s">
        <v>155</v>
      </c>
      <c r="JK5" s="118"/>
      <c r="JL5" s="118"/>
      <c r="JM5" s="118"/>
      <c r="JN5" s="119" t="s">
        <v>156</v>
      </c>
      <c r="JO5" s="118"/>
      <c r="JP5" s="118"/>
      <c r="JQ5" s="118"/>
      <c r="JR5" s="120"/>
      <c r="JS5" s="118" t="s">
        <v>157</v>
      </c>
      <c r="JT5" s="118"/>
      <c r="JU5" s="118"/>
      <c r="JV5" s="118"/>
      <c r="JW5" s="119" t="s">
        <v>158</v>
      </c>
      <c r="JX5" s="118"/>
      <c r="JY5" s="118"/>
      <c r="JZ5" s="120"/>
      <c r="KA5" s="118" t="s">
        <v>135</v>
      </c>
      <c r="KB5" s="118"/>
      <c r="KC5" s="118"/>
      <c r="KD5" s="120"/>
      <c r="KE5" s="316" t="s">
        <v>389</v>
      </c>
      <c r="KF5" s="315"/>
      <c r="KG5" s="315"/>
      <c r="KH5" s="317"/>
    </row>
    <row r="6" spans="1:294" ht="18.600000000000001">
      <c r="B6" s="123"/>
      <c r="C6" s="318" t="s">
        <v>167</v>
      </c>
      <c r="D6" s="129"/>
      <c r="E6" s="130"/>
      <c r="F6" s="131"/>
      <c r="G6" s="131"/>
      <c r="H6" s="131"/>
      <c r="I6" s="132"/>
      <c r="J6" s="133"/>
      <c r="K6" s="131"/>
      <c r="L6" s="131"/>
      <c r="M6" s="132"/>
      <c r="N6" s="134"/>
      <c r="O6" s="131"/>
      <c r="P6" s="131"/>
      <c r="Q6" s="132"/>
      <c r="R6" s="134"/>
      <c r="S6" s="131"/>
      <c r="T6" s="131"/>
      <c r="U6" s="132"/>
      <c r="V6" s="130"/>
      <c r="W6" s="131"/>
      <c r="X6" s="131"/>
      <c r="Y6" s="131"/>
      <c r="Z6" s="132"/>
      <c r="AA6" s="134"/>
      <c r="AB6" s="131"/>
      <c r="AC6" s="131"/>
      <c r="AD6" s="132"/>
      <c r="AE6" s="134"/>
      <c r="AF6" s="131"/>
      <c r="AG6" s="131"/>
      <c r="AH6" s="132"/>
      <c r="AI6" s="134"/>
      <c r="AJ6" s="131"/>
      <c r="AK6" s="135"/>
      <c r="AL6" s="131"/>
      <c r="AM6" s="132"/>
      <c r="AN6" s="134"/>
      <c r="AO6" s="131"/>
      <c r="AP6" s="131"/>
      <c r="AQ6" s="132"/>
      <c r="AR6" s="134"/>
      <c r="AS6" s="131"/>
      <c r="AT6" s="131"/>
      <c r="AU6" s="131"/>
      <c r="AV6" s="132"/>
      <c r="AW6" s="134"/>
      <c r="AX6" s="131"/>
      <c r="AY6" s="131"/>
      <c r="AZ6" s="132"/>
      <c r="BA6" s="134"/>
      <c r="BB6" s="131"/>
      <c r="BC6" s="131"/>
      <c r="BD6" s="132"/>
      <c r="BE6" s="134"/>
      <c r="BF6" s="136"/>
      <c r="BG6" s="136"/>
      <c r="BH6" s="131"/>
      <c r="BI6" s="132"/>
      <c r="BJ6" s="133"/>
      <c r="BK6" s="135"/>
      <c r="BL6" s="131"/>
      <c r="BM6" s="136"/>
      <c r="BN6" s="134"/>
      <c r="BO6" s="131"/>
      <c r="BP6" s="131"/>
      <c r="BQ6" s="132"/>
      <c r="BR6" s="133"/>
      <c r="BS6" s="131"/>
      <c r="BT6" s="131"/>
      <c r="BU6" s="131"/>
      <c r="BV6" s="136"/>
      <c r="BW6" s="134"/>
      <c r="BX6" s="131"/>
      <c r="BY6" s="131"/>
      <c r="BZ6" s="132"/>
      <c r="CA6" s="133"/>
      <c r="CB6" s="131"/>
      <c r="CC6" s="131"/>
      <c r="CD6" s="132"/>
      <c r="CE6" s="137"/>
      <c r="CF6" s="133"/>
      <c r="CG6" s="138"/>
      <c r="CH6" s="138"/>
      <c r="CI6" s="139"/>
      <c r="CJ6" s="173"/>
      <c r="CK6" s="174"/>
      <c r="CL6" s="138"/>
      <c r="CM6" s="140"/>
      <c r="CR6" s="124"/>
      <c r="CU6" s="142"/>
      <c r="CV6" s="125"/>
      <c r="CW6" s="124"/>
      <c r="CX6" s="142"/>
      <c r="CZ6" s="126"/>
      <c r="DA6" s="124"/>
      <c r="DB6" s="142"/>
      <c r="DE6" s="124"/>
      <c r="DH6" s="142"/>
      <c r="DJ6" s="124"/>
      <c r="DK6" s="125"/>
      <c r="DL6" s="142"/>
      <c r="DM6" s="126"/>
      <c r="DN6" s="124"/>
      <c r="DO6" s="142"/>
      <c r="DQ6" s="142"/>
      <c r="DS6" s="124"/>
      <c r="DT6" s="142"/>
      <c r="DU6" s="142"/>
      <c r="DY6" s="142"/>
      <c r="EA6" s="124"/>
      <c r="EE6" s="125"/>
      <c r="EF6" s="124"/>
      <c r="EJ6" s="124"/>
      <c r="EN6" s="124"/>
      <c r="ER6" s="126"/>
      <c r="EV6" s="125"/>
      <c r="EW6" s="124"/>
      <c r="EZ6" s="126"/>
      <c r="FF6" s="124"/>
      <c r="FI6" s="126"/>
      <c r="FK6" s="125"/>
      <c r="FN6" s="124"/>
      <c r="FR6" s="126"/>
      <c r="FW6" s="124"/>
      <c r="FZ6" s="126"/>
      <c r="GA6" s="124"/>
      <c r="GE6" s="141"/>
      <c r="GJ6" s="124"/>
      <c r="GM6" s="126"/>
      <c r="GS6" s="124"/>
      <c r="GV6" s="126"/>
      <c r="HA6" s="124"/>
      <c r="HE6" s="126"/>
      <c r="HJ6" s="124"/>
      <c r="HM6" s="126"/>
      <c r="HS6" s="124"/>
      <c r="HV6" s="126"/>
      <c r="IA6" s="124"/>
      <c r="IE6" s="125"/>
      <c r="IF6" s="124"/>
      <c r="II6" s="126"/>
      <c r="IN6" s="124"/>
      <c r="IR6" s="126"/>
      <c r="IW6" s="124"/>
      <c r="IZ6" s="126"/>
      <c r="JF6" s="124"/>
      <c r="JI6" s="126"/>
      <c r="JN6" s="124"/>
      <c r="JR6" s="126"/>
      <c r="JW6" s="124"/>
      <c r="JZ6" s="126"/>
      <c r="KD6" s="141"/>
      <c r="KE6" s="124"/>
      <c r="KH6" s="126"/>
    </row>
    <row r="7" spans="1:294" ht="36.6">
      <c r="B7" s="143" t="s">
        <v>159</v>
      </c>
      <c r="C7" s="128" t="s">
        <v>168</v>
      </c>
      <c r="D7" s="129" t="s">
        <v>165</v>
      </c>
      <c r="E7" s="130"/>
      <c r="F7" s="131"/>
      <c r="G7" s="131"/>
      <c r="H7" s="131"/>
      <c r="I7" s="132"/>
      <c r="J7" s="133"/>
      <c r="K7" s="131"/>
      <c r="L7" s="131"/>
      <c r="M7" s="132"/>
      <c r="N7" s="134"/>
      <c r="O7" s="131"/>
      <c r="P7" s="131"/>
      <c r="Q7" s="132"/>
      <c r="R7" s="134"/>
      <c r="S7" s="131"/>
      <c r="T7" s="131"/>
      <c r="U7" s="132"/>
      <c r="V7" s="130"/>
      <c r="W7" s="131"/>
      <c r="X7" s="131"/>
      <c r="Y7" s="131"/>
      <c r="Z7" s="132"/>
      <c r="AA7" s="134"/>
      <c r="AB7" s="131"/>
      <c r="AC7" s="131"/>
      <c r="AD7" s="132"/>
      <c r="AE7" s="134"/>
      <c r="AF7" s="131"/>
      <c r="AG7" s="131"/>
      <c r="AH7" s="132"/>
      <c r="AI7" s="134"/>
      <c r="AJ7" s="131"/>
      <c r="AK7" s="135"/>
      <c r="AL7" s="131"/>
      <c r="AM7" s="132"/>
      <c r="AN7" s="134"/>
      <c r="AO7" s="131"/>
      <c r="AP7" s="131"/>
      <c r="AQ7" s="132"/>
      <c r="AR7" s="134"/>
      <c r="AS7" s="131"/>
      <c r="AT7" s="131"/>
      <c r="AU7" s="131"/>
      <c r="AV7" s="132"/>
      <c r="AW7" s="134"/>
      <c r="AX7" s="131"/>
      <c r="AY7" s="131"/>
      <c r="AZ7" s="132"/>
      <c r="BA7" s="134"/>
      <c r="BB7" s="131"/>
      <c r="BC7" s="131"/>
      <c r="BD7" s="132"/>
      <c r="BE7" s="134"/>
      <c r="BF7" s="136"/>
      <c r="BG7" s="136"/>
      <c r="BH7" s="131"/>
      <c r="BI7" s="132"/>
      <c r="BJ7" s="133"/>
      <c r="BK7" s="135"/>
      <c r="BL7" s="131"/>
      <c r="BM7" s="136"/>
      <c r="BN7" s="134"/>
      <c r="BO7" s="131"/>
      <c r="BP7" s="131"/>
      <c r="BQ7" s="132"/>
      <c r="BR7" s="133"/>
      <c r="BS7" s="131"/>
      <c r="BT7" s="131"/>
      <c r="BU7" s="131"/>
      <c r="BV7" s="136"/>
      <c r="BW7" s="134"/>
      <c r="BX7" s="131"/>
      <c r="BY7" s="131"/>
      <c r="BZ7" s="132"/>
      <c r="CA7" s="133"/>
      <c r="CB7" s="131"/>
      <c r="CC7" s="131"/>
      <c r="CD7" s="132"/>
      <c r="CE7" s="137"/>
      <c r="CF7" s="133"/>
      <c r="CG7" s="138"/>
      <c r="CH7" s="138"/>
      <c r="CI7" s="139"/>
      <c r="CJ7" s="134"/>
      <c r="CK7" s="138"/>
      <c r="CL7" s="138"/>
      <c r="CM7" s="140"/>
      <c r="CR7" s="124"/>
      <c r="CV7" s="125"/>
      <c r="CW7" s="124"/>
      <c r="CZ7" s="126"/>
      <c r="DA7" s="124"/>
      <c r="DE7" s="124"/>
      <c r="DJ7" s="124"/>
      <c r="DK7" s="125"/>
      <c r="DM7" s="126"/>
      <c r="DN7" s="124"/>
      <c r="DS7" s="124"/>
      <c r="EA7" s="124"/>
      <c r="EE7" s="125"/>
      <c r="EF7" s="124"/>
      <c r="EJ7" s="124"/>
      <c r="EN7" s="124"/>
      <c r="ER7" s="126"/>
      <c r="EV7" s="125"/>
      <c r="EW7" s="124"/>
      <c r="EZ7" s="126"/>
      <c r="FF7" s="124"/>
      <c r="FI7" s="126"/>
      <c r="FK7" s="125"/>
      <c r="FN7" s="124"/>
      <c r="FR7" s="126"/>
      <c r="FU7" s="79" t="s">
        <v>165</v>
      </c>
      <c r="FW7" s="124"/>
      <c r="FZ7" s="126"/>
      <c r="GA7" s="124"/>
      <c r="GE7" s="141"/>
      <c r="GJ7" s="124"/>
      <c r="GM7" s="126"/>
      <c r="GS7" s="124"/>
      <c r="GV7" s="126"/>
      <c r="HA7" s="124"/>
      <c r="HE7" s="126"/>
      <c r="HJ7" s="124"/>
      <c r="HM7" s="126"/>
      <c r="HS7" s="124"/>
      <c r="HV7" s="126"/>
      <c r="IA7" s="124"/>
      <c r="IE7" s="125"/>
      <c r="IF7" s="124"/>
      <c r="II7" s="126"/>
      <c r="IN7" s="124"/>
      <c r="IR7" s="126"/>
      <c r="IW7" s="124"/>
      <c r="IZ7" s="126"/>
      <c r="JF7" s="124"/>
      <c r="JI7" s="126"/>
      <c r="JN7" s="124"/>
      <c r="JR7" s="126"/>
      <c r="JW7" s="124"/>
      <c r="JZ7" s="126"/>
      <c r="KD7" s="141"/>
      <c r="KE7" s="124"/>
      <c r="KH7" s="126"/>
    </row>
    <row r="8" spans="1:294" ht="36.6">
      <c r="B8" s="143" t="s">
        <v>160</v>
      </c>
      <c r="C8" s="128" t="s">
        <v>169</v>
      </c>
      <c r="D8" s="129" t="s">
        <v>163</v>
      </c>
      <c r="E8" s="130"/>
      <c r="F8" s="131"/>
      <c r="G8" s="131"/>
      <c r="H8" s="131"/>
      <c r="I8" s="132"/>
      <c r="J8" s="133"/>
      <c r="K8" s="131"/>
      <c r="L8" s="131"/>
      <c r="M8" s="132"/>
      <c r="N8" s="134"/>
      <c r="O8" s="131"/>
      <c r="P8" s="131"/>
      <c r="Q8" s="132"/>
      <c r="R8" s="134"/>
      <c r="S8" s="131"/>
      <c r="T8" s="131"/>
      <c r="U8" s="132"/>
      <c r="V8" s="130"/>
      <c r="W8" s="131"/>
      <c r="X8" s="131"/>
      <c r="Y8" s="131"/>
      <c r="Z8" s="132"/>
      <c r="AA8" s="134"/>
      <c r="AB8" s="131"/>
      <c r="AC8" s="131"/>
      <c r="AD8" s="132"/>
      <c r="AE8" s="134"/>
      <c r="AF8" s="131"/>
      <c r="AG8" s="131"/>
      <c r="AH8" s="132"/>
      <c r="AI8" s="134"/>
      <c r="AJ8" s="131"/>
      <c r="AK8" s="135"/>
      <c r="AL8" s="131"/>
      <c r="AM8" s="132"/>
      <c r="AN8" s="134"/>
      <c r="AO8" s="131"/>
      <c r="AP8" s="131"/>
      <c r="AQ8" s="132"/>
      <c r="AR8" s="134"/>
      <c r="AS8" s="131"/>
      <c r="AT8" s="131"/>
      <c r="AU8" s="131"/>
      <c r="AV8" s="132"/>
      <c r="AW8" s="134"/>
      <c r="AX8" s="131"/>
      <c r="AY8" s="131"/>
      <c r="AZ8" s="132"/>
      <c r="BA8" s="134"/>
      <c r="BB8" s="131"/>
      <c r="BC8" s="131"/>
      <c r="BD8" s="132"/>
      <c r="BE8" s="134"/>
      <c r="BF8" s="136"/>
      <c r="BG8" s="136"/>
      <c r="BH8" s="131"/>
      <c r="BI8" s="132"/>
      <c r="BJ8" s="133"/>
      <c r="BK8" s="135"/>
      <c r="BL8" s="131"/>
      <c r="BM8" s="136"/>
      <c r="BN8" s="134"/>
      <c r="BO8" s="131"/>
      <c r="BP8" s="131"/>
      <c r="BQ8" s="132"/>
      <c r="BR8" s="133"/>
      <c r="BS8" s="131"/>
      <c r="BT8" s="131"/>
      <c r="BU8" s="131"/>
      <c r="BV8" s="136"/>
      <c r="BW8" s="134"/>
      <c r="BX8" s="131"/>
      <c r="BY8" s="131"/>
      <c r="BZ8" s="132"/>
      <c r="CA8" s="133"/>
      <c r="CB8" s="131"/>
      <c r="CC8" s="131"/>
      <c r="CD8" s="132"/>
      <c r="CE8" s="137"/>
      <c r="CF8" s="133"/>
      <c r="CG8" s="138"/>
      <c r="CH8" s="138"/>
      <c r="CI8" s="139"/>
      <c r="CJ8" s="134"/>
      <c r="CK8" s="138"/>
      <c r="CL8" s="138"/>
      <c r="CM8" s="140"/>
      <c r="CR8" s="124"/>
      <c r="CV8" s="125"/>
      <c r="CW8" s="175"/>
      <c r="CZ8" s="126"/>
      <c r="DA8" s="124"/>
      <c r="DE8" s="124"/>
      <c r="DF8" s="172"/>
      <c r="DJ8" s="124"/>
      <c r="DK8" s="125"/>
      <c r="DM8" s="126"/>
      <c r="DN8" s="124"/>
      <c r="DS8" s="124"/>
      <c r="EA8" s="124"/>
      <c r="EE8" s="125"/>
      <c r="EF8" s="124"/>
      <c r="EJ8" s="124"/>
      <c r="EN8" s="124"/>
      <c r="ER8" s="126"/>
      <c r="EV8" s="125"/>
      <c r="EW8" s="124"/>
      <c r="EZ8" s="126"/>
      <c r="FF8" s="124"/>
      <c r="FI8" s="126"/>
      <c r="FK8" s="125"/>
      <c r="FN8" s="124"/>
      <c r="FR8" s="126"/>
      <c r="FW8" s="124"/>
      <c r="FZ8" s="126"/>
      <c r="GA8" s="124"/>
      <c r="GB8" s="79" t="s">
        <v>186</v>
      </c>
      <c r="GE8" s="141"/>
      <c r="GJ8" s="124"/>
      <c r="GM8" s="126"/>
      <c r="GS8" s="124"/>
      <c r="GV8" s="126"/>
      <c r="HA8" s="124"/>
      <c r="HE8" s="126"/>
      <c r="HJ8" s="124"/>
      <c r="HM8" s="126"/>
      <c r="HS8" s="124"/>
      <c r="HV8" s="126"/>
      <c r="IA8" s="124"/>
      <c r="IE8" s="125"/>
      <c r="IF8" s="124"/>
      <c r="II8" s="126"/>
      <c r="IN8" s="124"/>
      <c r="IR8" s="126"/>
      <c r="IW8" s="124"/>
      <c r="IZ8" s="126"/>
      <c r="JF8" s="124"/>
      <c r="JI8" s="126"/>
      <c r="JN8" s="124"/>
      <c r="JR8" s="126"/>
      <c r="JW8" s="124"/>
      <c r="JZ8" s="126"/>
      <c r="KD8" s="141"/>
      <c r="KE8" s="124"/>
      <c r="KH8" s="126"/>
    </row>
    <row r="9" spans="1:294" ht="18.600000000000001">
      <c r="B9" s="127"/>
      <c r="C9" s="128"/>
      <c r="D9" s="129"/>
      <c r="E9" s="130"/>
      <c r="F9" s="131"/>
      <c r="G9" s="131"/>
      <c r="H9" s="131"/>
      <c r="I9" s="132"/>
      <c r="J9" s="133"/>
      <c r="K9" s="131"/>
      <c r="L9" s="131"/>
      <c r="M9" s="132"/>
      <c r="N9" s="134"/>
      <c r="O9" s="131"/>
      <c r="P9" s="131"/>
      <c r="Q9" s="132"/>
      <c r="R9" s="134"/>
      <c r="S9" s="131"/>
      <c r="T9" s="131"/>
      <c r="U9" s="132"/>
      <c r="V9" s="130"/>
      <c r="W9" s="131"/>
      <c r="X9" s="131"/>
      <c r="Y9" s="131"/>
      <c r="Z9" s="132"/>
      <c r="AA9" s="134"/>
      <c r="AB9" s="131"/>
      <c r="AC9" s="131"/>
      <c r="AD9" s="132"/>
      <c r="AE9" s="134"/>
      <c r="AF9" s="131"/>
      <c r="AG9" s="131"/>
      <c r="AH9" s="132"/>
      <c r="AI9" s="134"/>
      <c r="AJ9" s="131"/>
      <c r="AK9" s="135"/>
      <c r="AL9" s="131"/>
      <c r="AM9" s="132"/>
      <c r="AN9" s="134"/>
      <c r="AO9" s="131"/>
      <c r="AP9" s="131"/>
      <c r="AQ9" s="132"/>
      <c r="AR9" s="134"/>
      <c r="AS9" s="131"/>
      <c r="AT9" s="131"/>
      <c r="AU9" s="131"/>
      <c r="AV9" s="132"/>
      <c r="AW9" s="134"/>
      <c r="AX9" s="131"/>
      <c r="AY9" s="131"/>
      <c r="AZ9" s="132"/>
      <c r="BA9" s="134"/>
      <c r="BB9" s="131"/>
      <c r="BC9" s="131"/>
      <c r="BD9" s="132"/>
      <c r="BE9" s="134"/>
      <c r="BF9" s="136"/>
      <c r="BG9" s="136"/>
      <c r="BH9" s="131"/>
      <c r="BI9" s="132"/>
      <c r="BJ9" s="133"/>
      <c r="BK9" s="135"/>
      <c r="BL9" s="131"/>
      <c r="BM9" s="136"/>
      <c r="BN9" s="134"/>
      <c r="BO9" s="131"/>
      <c r="BP9" s="131"/>
      <c r="BQ9" s="132"/>
      <c r="BR9" s="133"/>
      <c r="BS9" s="131"/>
      <c r="BT9" s="131"/>
      <c r="BU9" s="131"/>
      <c r="BV9" s="136"/>
      <c r="BW9" s="134"/>
      <c r="BX9" s="131"/>
      <c r="BY9" s="131"/>
      <c r="BZ9" s="132"/>
      <c r="CA9" s="133"/>
      <c r="CB9" s="131"/>
      <c r="CC9" s="131"/>
      <c r="CD9" s="132"/>
      <c r="CE9" s="137"/>
      <c r="CF9" s="133">
        <v>7</v>
      </c>
      <c r="CG9" s="138">
        <v>6</v>
      </c>
      <c r="CH9" s="138">
        <v>5</v>
      </c>
      <c r="CI9" s="139">
        <v>4</v>
      </c>
      <c r="CJ9" s="134">
        <v>3</v>
      </c>
      <c r="CK9" s="138">
        <v>2</v>
      </c>
      <c r="CL9" s="157">
        <v>1</v>
      </c>
      <c r="CM9" s="140" t="s">
        <v>166</v>
      </c>
      <c r="CR9" s="124"/>
      <c r="CV9" s="125"/>
      <c r="CW9" s="124"/>
      <c r="CZ9" s="126"/>
      <c r="DA9" s="124"/>
      <c r="DE9" s="124"/>
      <c r="DJ9" s="124"/>
      <c r="DK9" s="125"/>
      <c r="DM9" s="126"/>
      <c r="DN9" s="124"/>
      <c r="DS9" s="124"/>
      <c r="EA9" s="124"/>
      <c r="EE9" s="125"/>
      <c r="EF9" s="124"/>
      <c r="EJ9" s="124"/>
      <c r="EN9" s="124"/>
      <c r="ER9" s="126"/>
      <c r="EV9" s="125"/>
      <c r="EW9" s="124"/>
      <c r="EZ9" s="126"/>
      <c r="FF9" s="124"/>
      <c r="FI9" s="126"/>
      <c r="FK9" s="125"/>
      <c r="FN9" s="124"/>
      <c r="FR9" s="126"/>
      <c r="FW9" s="124"/>
      <c r="FZ9" s="126"/>
      <c r="GA9" s="124"/>
      <c r="GE9" s="141"/>
      <c r="GJ9" s="124"/>
      <c r="GM9" s="126"/>
      <c r="GS9" s="124"/>
      <c r="GV9" s="126"/>
      <c r="HA9" s="124"/>
      <c r="HE9" s="126"/>
      <c r="HJ9" s="124"/>
      <c r="HM9" s="126"/>
      <c r="HS9" s="124"/>
      <c r="HV9" s="126"/>
      <c r="IA9" s="124"/>
      <c r="IE9" s="125"/>
      <c r="IF9" s="124"/>
      <c r="II9" s="126"/>
      <c r="IN9" s="124"/>
      <c r="IR9" s="126"/>
      <c r="IW9" s="124"/>
      <c r="IZ9" s="126"/>
      <c r="JF9" s="124"/>
      <c r="JI9" s="126"/>
      <c r="JN9" s="124"/>
      <c r="JR9" s="126"/>
      <c r="JW9" s="124"/>
      <c r="JZ9" s="126"/>
      <c r="KD9" s="141"/>
      <c r="KE9" s="124"/>
      <c r="KH9" s="126"/>
    </row>
    <row r="10" spans="1:294" ht="19.2" thickBot="1">
      <c r="B10" s="177"/>
      <c r="C10" s="144"/>
      <c r="D10" s="158"/>
      <c r="E10" s="159"/>
      <c r="F10" s="160"/>
      <c r="G10" s="160"/>
      <c r="H10" s="160"/>
      <c r="I10" s="161"/>
      <c r="J10" s="162"/>
      <c r="K10" s="160"/>
      <c r="L10" s="160"/>
      <c r="M10" s="161"/>
      <c r="N10" s="163"/>
      <c r="O10" s="160"/>
      <c r="P10" s="160"/>
      <c r="Q10" s="161"/>
      <c r="R10" s="163"/>
      <c r="S10" s="160"/>
      <c r="T10" s="160"/>
      <c r="U10" s="161"/>
      <c r="V10" s="159"/>
      <c r="W10" s="160"/>
      <c r="X10" s="160"/>
      <c r="Y10" s="160"/>
      <c r="Z10" s="161"/>
      <c r="AA10" s="163"/>
      <c r="AB10" s="160"/>
      <c r="AC10" s="160"/>
      <c r="AD10" s="161"/>
      <c r="AE10" s="163"/>
      <c r="AF10" s="160"/>
      <c r="AG10" s="160"/>
      <c r="AH10" s="161"/>
      <c r="AI10" s="163"/>
      <c r="AJ10" s="160"/>
      <c r="AK10" s="164"/>
      <c r="AL10" s="160"/>
      <c r="AM10" s="161"/>
      <c r="AN10" s="163"/>
      <c r="AO10" s="160"/>
      <c r="AP10" s="160"/>
      <c r="AQ10" s="161"/>
      <c r="AR10" s="163"/>
      <c r="AS10" s="160"/>
      <c r="AT10" s="160"/>
      <c r="AU10" s="160"/>
      <c r="AV10" s="161"/>
      <c r="AW10" s="163"/>
      <c r="AX10" s="160"/>
      <c r="AY10" s="160"/>
      <c r="AZ10" s="161"/>
      <c r="BA10" s="163"/>
      <c r="BB10" s="160"/>
      <c r="BC10" s="160"/>
      <c r="BD10" s="161"/>
      <c r="BE10" s="163"/>
      <c r="BF10" s="165"/>
      <c r="BG10" s="165"/>
      <c r="BH10" s="160"/>
      <c r="BI10" s="161"/>
      <c r="BJ10" s="162"/>
      <c r="BK10" s="164"/>
      <c r="BL10" s="160"/>
      <c r="BM10" s="165"/>
      <c r="BN10" s="163"/>
      <c r="BO10" s="160"/>
      <c r="BP10" s="160"/>
      <c r="BQ10" s="161"/>
      <c r="BR10" s="162"/>
      <c r="BS10" s="160"/>
      <c r="BT10" s="160"/>
      <c r="BU10" s="160"/>
      <c r="BV10" s="165"/>
      <c r="BW10" s="163"/>
      <c r="BX10" s="160"/>
      <c r="BY10" s="160"/>
      <c r="BZ10" s="161"/>
      <c r="CA10" s="162"/>
      <c r="CB10" s="160"/>
      <c r="CC10" s="160"/>
      <c r="CD10" s="161"/>
      <c r="CE10" s="166"/>
      <c r="CF10" s="162"/>
      <c r="CG10" s="167"/>
      <c r="CH10" s="167"/>
      <c r="CI10" s="168"/>
      <c r="CJ10" s="163"/>
      <c r="CK10" s="167"/>
      <c r="CL10" s="167"/>
      <c r="CM10" s="169"/>
      <c r="CN10" s="145"/>
      <c r="CO10" s="145"/>
      <c r="CP10" s="145"/>
      <c r="CQ10" s="145"/>
      <c r="CR10" s="146"/>
      <c r="CS10" s="145"/>
      <c r="CT10" s="145"/>
      <c r="CU10" s="145"/>
      <c r="CV10" s="147"/>
      <c r="CW10" s="146"/>
      <c r="CX10" s="145"/>
      <c r="CY10" s="145"/>
      <c r="CZ10" s="148"/>
      <c r="DA10" s="146"/>
      <c r="DB10" s="145"/>
      <c r="DC10" s="176"/>
      <c r="DD10" s="145"/>
      <c r="DE10" s="146"/>
      <c r="DF10" s="145"/>
      <c r="DG10" s="145"/>
      <c r="DH10" s="145"/>
      <c r="DI10" s="145"/>
      <c r="DJ10" s="146"/>
      <c r="DK10" s="147"/>
      <c r="DL10" s="145"/>
      <c r="DM10" s="148"/>
      <c r="DN10" s="146"/>
      <c r="DO10" s="145"/>
      <c r="DP10" s="145"/>
      <c r="DQ10" s="145"/>
      <c r="DR10" s="145"/>
      <c r="DS10" s="146"/>
      <c r="DT10" s="145"/>
      <c r="DU10" s="145"/>
      <c r="DV10" s="145"/>
      <c r="DW10" s="145"/>
      <c r="DX10" s="145"/>
      <c r="DY10" s="145"/>
      <c r="DZ10" s="145"/>
      <c r="EA10" s="146"/>
      <c r="EB10" s="145"/>
      <c r="EC10" s="145"/>
      <c r="ED10" s="145"/>
      <c r="EE10" s="147"/>
      <c r="EF10" s="146"/>
      <c r="EG10" s="145"/>
      <c r="EH10" s="145"/>
      <c r="EI10" s="145"/>
      <c r="EJ10" s="146"/>
      <c r="EK10" s="145"/>
      <c r="EL10" s="145"/>
      <c r="EM10" s="145"/>
      <c r="EN10" s="146"/>
      <c r="EO10" s="145"/>
      <c r="EP10" s="145"/>
      <c r="EQ10" s="145"/>
      <c r="ER10" s="148"/>
      <c r="ES10" s="145"/>
      <c r="ET10" s="145"/>
      <c r="EU10" s="145"/>
      <c r="EV10" s="147"/>
      <c r="EW10" s="146"/>
      <c r="EX10" s="145"/>
      <c r="EY10" s="145"/>
      <c r="EZ10" s="148"/>
      <c r="FA10" s="145"/>
      <c r="FB10" s="145"/>
      <c r="FC10" s="145"/>
      <c r="FD10" s="145"/>
      <c r="FE10" s="145"/>
      <c r="FF10" s="146"/>
      <c r="FG10" s="145"/>
      <c r="FH10" s="145"/>
      <c r="FI10" s="148"/>
      <c r="FJ10" s="145"/>
      <c r="FK10" s="147"/>
      <c r="FL10" s="145"/>
      <c r="FM10" s="145"/>
      <c r="FN10" s="146"/>
      <c r="FO10" s="145"/>
      <c r="FP10" s="145"/>
      <c r="FQ10" s="145"/>
      <c r="FR10" s="148"/>
      <c r="FS10" s="145"/>
      <c r="FT10" s="145"/>
      <c r="FU10" s="145"/>
      <c r="FV10" s="145"/>
      <c r="FW10" s="146"/>
      <c r="FX10" s="145"/>
      <c r="FY10" s="145"/>
      <c r="FZ10" s="148"/>
      <c r="GA10" s="146"/>
      <c r="GB10" s="145"/>
      <c r="GC10" s="145"/>
      <c r="GD10" s="145"/>
      <c r="GE10" s="149"/>
      <c r="GF10" s="145"/>
      <c r="GG10" s="145"/>
      <c r="GH10" s="145"/>
      <c r="GI10" s="145"/>
      <c r="GJ10" s="146"/>
      <c r="GK10" s="145"/>
      <c r="GL10" s="145"/>
      <c r="GM10" s="148"/>
      <c r="GN10" s="145"/>
      <c r="GO10" s="145"/>
      <c r="GP10" s="145"/>
      <c r="GQ10" s="145"/>
      <c r="GR10" s="145"/>
      <c r="GS10" s="146"/>
      <c r="GT10" s="145"/>
      <c r="GU10" s="145"/>
      <c r="GV10" s="148"/>
      <c r="GW10" s="145"/>
      <c r="GX10" s="145"/>
      <c r="GY10" s="145"/>
      <c r="GZ10" s="145"/>
      <c r="HA10" s="146"/>
      <c r="HB10" s="145"/>
      <c r="HC10" s="145"/>
      <c r="HD10" s="145"/>
      <c r="HE10" s="148"/>
      <c r="HF10" s="145"/>
      <c r="HG10" s="145"/>
      <c r="HH10" s="145"/>
      <c r="HI10" s="145"/>
      <c r="HJ10" s="146"/>
      <c r="HK10" s="145"/>
      <c r="HL10" s="145"/>
      <c r="HM10" s="148"/>
      <c r="HN10" s="145"/>
      <c r="HO10" s="145"/>
      <c r="HP10" s="145"/>
      <c r="HQ10" s="145"/>
      <c r="HR10" s="145"/>
      <c r="HS10" s="146"/>
      <c r="HT10" s="145"/>
      <c r="HU10" s="145"/>
      <c r="HV10" s="148"/>
      <c r="HW10" s="145"/>
      <c r="HX10" s="145"/>
      <c r="HY10" s="145"/>
      <c r="HZ10" s="145"/>
      <c r="IA10" s="146"/>
      <c r="IB10" s="145"/>
      <c r="IC10" s="145"/>
      <c r="ID10" s="145"/>
      <c r="IE10" s="147"/>
      <c r="IF10" s="146"/>
      <c r="IG10" s="145"/>
      <c r="IH10" s="145"/>
      <c r="II10" s="148"/>
      <c r="IJ10" s="145"/>
      <c r="IK10" s="145"/>
      <c r="IL10" s="145"/>
      <c r="IM10" s="145"/>
      <c r="IN10" s="146"/>
      <c r="IO10" s="145"/>
      <c r="IP10" s="145"/>
      <c r="IQ10" s="145"/>
      <c r="IR10" s="148"/>
      <c r="IS10" s="145"/>
      <c r="IT10" s="145"/>
      <c r="IU10" s="145"/>
      <c r="IV10" s="145"/>
      <c r="IW10" s="146"/>
      <c r="IX10" s="145"/>
      <c r="IY10" s="145"/>
      <c r="IZ10" s="148"/>
      <c r="JA10" s="145"/>
      <c r="JB10" s="145"/>
      <c r="JC10" s="145"/>
      <c r="JD10" s="145"/>
      <c r="JE10" s="145"/>
      <c r="JF10" s="146"/>
      <c r="JG10" s="145"/>
      <c r="JH10" s="145"/>
      <c r="JI10" s="148"/>
      <c r="JJ10" s="145"/>
      <c r="JK10" s="145"/>
      <c r="JL10" s="145"/>
      <c r="JM10" s="145"/>
      <c r="JN10" s="146"/>
      <c r="JO10" s="145"/>
      <c r="JP10" s="145"/>
      <c r="JQ10" s="145"/>
      <c r="JR10" s="148"/>
      <c r="JS10" s="145"/>
      <c r="JT10" s="145"/>
      <c r="JU10" s="145"/>
      <c r="JV10" s="145"/>
      <c r="JW10" s="146"/>
      <c r="JX10" s="145"/>
      <c r="JY10" s="145"/>
      <c r="JZ10" s="148"/>
      <c r="KA10" s="145"/>
      <c r="KB10" s="145"/>
      <c r="KC10" s="145"/>
      <c r="KD10" s="149"/>
      <c r="KE10" s="146"/>
      <c r="KF10" s="145"/>
      <c r="KG10" s="145"/>
      <c r="KH10" s="148"/>
    </row>
    <row r="11" spans="1:294" ht="21" customHeight="1" thickTop="1">
      <c r="B11" s="127"/>
      <c r="C11" s="178"/>
      <c r="D11" s="179"/>
      <c r="E11" s="180"/>
      <c r="F11" s="181"/>
      <c r="G11" s="181"/>
      <c r="H11" s="181"/>
      <c r="I11" s="182"/>
      <c r="J11" s="183"/>
      <c r="K11" s="181"/>
      <c r="L11" s="181"/>
      <c r="M11" s="182"/>
      <c r="N11" s="184"/>
      <c r="O11" s="181"/>
      <c r="P11" s="181"/>
      <c r="Q11" s="182"/>
      <c r="R11" s="184"/>
      <c r="S11" s="181"/>
      <c r="T11" s="181"/>
      <c r="U11" s="182"/>
      <c r="V11" s="180"/>
      <c r="W11" s="181"/>
      <c r="X11" s="181"/>
      <c r="Y11" s="181"/>
      <c r="Z11" s="182"/>
      <c r="AA11" s="184"/>
      <c r="AB11" s="181"/>
      <c r="AC11" s="181"/>
      <c r="AD11" s="182"/>
      <c r="AE11" s="184"/>
      <c r="AF11" s="181"/>
      <c r="AG11" s="181"/>
      <c r="AH11" s="182"/>
      <c r="AI11" s="184"/>
      <c r="AJ11" s="181"/>
      <c r="AK11" s="185"/>
      <c r="AL11" s="181"/>
      <c r="AM11" s="182"/>
      <c r="AN11" s="184"/>
      <c r="AO11" s="181"/>
      <c r="AP11" s="181"/>
      <c r="AQ11" s="182"/>
      <c r="AR11" s="184"/>
      <c r="AS11" s="181"/>
      <c r="AT11" s="181"/>
      <c r="AU11" s="181"/>
      <c r="AV11" s="182"/>
      <c r="AW11" s="184"/>
      <c r="AX11" s="181"/>
      <c r="AY11" s="181"/>
      <c r="AZ11" s="182"/>
      <c r="BA11" s="184"/>
      <c r="BB11" s="181"/>
      <c r="BC11" s="181"/>
      <c r="BD11" s="182"/>
      <c r="BE11" s="184"/>
      <c r="BF11" s="186"/>
      <c r="BG11" s="186"/>
      <c r="BH11" s="181"/>
      <c r="BI11" s="182"/>
      <c r="BJ11" s="183"/>
      <c r="BK11" s="185"/>
      <c r="BL11" s="181"/>
      <c r="BM11" s="186"/>
      <c r="BN11" s="184"/>
      <c r="BO11" s="181"/>
      <c r="BP11" s="181"/>
      <c r="BQ11" s="182"/>
      <c r="BR11" s="183"/>
      <c r="BS11" s="181"/>
      <c r="BT11" s="181"/>
      <c r="BU11" s="181"/>
      <c r="BV11" s="186"/>
      <c r="BW11" s="184"/>
      <c r="BX11" s="181"/>
      <c r="BY11" s="181"/>
      <c r="BZ11" s="182"/>
      <c r="CA11" s="183"/>
      <c r="CB11" s="181"/>
      <c r="CC11" s="181"/>
      <c r="CD11" s="182"/>
      <c r="CE11" s="187"/>
      <c r="CF11" s="183"/>
      <c r="CG11" s="188"/>
      <c r="CH11" s="188"/>
      <c r="CI11" s="189"/>
      <c r="CJ11" s="184"/>
      <c r="CK11" s="188"/>
      <c r="CL11" s="188"/>
      <c r="CM11" s="190"/>
      <c r="CN11" s="151"/>
      <c r="CO11" s="151"/>
      <c r="CP11" s="151"/>
      <c r="CQ11" s="151"/>
      <c r="CR11" s="150"/>
      <c r="CS11" s="151"/>
      <c r="CT11" s="151"/>
      <c r="CU11" s="151"/>
      <c r="CV11" s="152"/>
      <c r="CW11" s="150"/>
      <c r="CX11" s="151"/>
      <c r="CY11" s="151"/>
      <c r="CZ11" s="154"/>
      <c r="DA11" s="150"/>
      <c r="DB11" s="151"/>
      <c r="DC11" s="191"/>
      <c r="DD11" s="151"/>
      <c r="DE11" s="150"/>
      <c r="DF11" s="151"/>
      <c r="DG11" s="151"/>
      <c r="DH11" s="151"/>
      <c r="DI11" s="151"/>
      <c r="DJ11" s="150"/>
      <c r="DK11" s="152"/>
      <c r="DL11" s="151"/>
      <c r="DM11" s="154"/>
      <c r="DN11" s="150"/>
      <c r="DO11" s="151"/>
      <c r="DP11" s="151"/>
      <c r="DQ11" s="151"/>
      <c r="DR11" s="151"/>
      <c r="DS11" s="150"/>
      <c r="DT11" s="151"/>
      <c r="DU11" s="151"/>
      <c r="DV11" s="151"/>
      <c r="DW11" s="151"/>
      <c r="DX11" s="151"/>
      <c r="DY11" s="151"/>
      <c r="DZ11" s="151"/>
      <c r="EA11" s="150"/>
      <c r="EB11" s="151"/>
      <c r="EC11" s="151"/>
      <c r="ED11" s="151"/>
      <c r="EE11" s="152"/>
      <c r="EF11" s="150"/>
      <c r="EG11" s="151"/>
      <c r="EH11" s="151"/>
      <c r="EI11" s="151"/>
      <c r="EJ11" s="150"/>
      <c r="EK11" s="151"/>
      <c r="EL11" s="151"/>
      <c r="EM11" s="151"/>
      <c r="EN11" s="150"/>
      <c r="EO11" s="151"/>
      <c r="EP11" s="151"/>
      <c r="EQ11" s="151"/>
      <c r="ER11" s="154"/>
      <c r="ES11" s="151"/>
      <c r="ET11" s="151"/>
      <c r="EU11" s="151"/>
      <c r="EV11" s="152"/>
      <c r="EW11" s="150"/>
      <c r="EX11" s="151"/>
      <c r="EY11" s="151"/>
      <c r="EZ11" s="154"/>
      <c r="FA11" s="151"/>
      <c r="FB11" s="151"/>
      <c r="FC11" s="151"/>
      <c r="FD11" s="151"/>
      <c r="FE11" s="151"/>
      <c r="FF11" s="150"/>
      <c r="FG11" s="151"/>
      <c r="FH11" s="151"/>
      <c r="FI11" s="154"/>
      <c r="FJ11" s="151"/>
      <c r="FK11" s="152"/>
      <c r="FL11" s="151"/>
      <c r="FM11" s="151"/>
      <c r="FN11" s="150"/>
      <c r="FO11" s="151"/>
      <c r="FP11" s="151"/>
      <c r="FQ11" s="151"/>
      <c r="FR11" s="154"/>
      <c r="FS11" s="151"/>
      <c r="FT11" s="151"/>
      <c r="FU11" s="151"/>
      <c r="FV11" s="151"/>
      <c r="FW11" s="150"/>
      <c r="FX11" s="151"/>
      <c r="FY11" s="151"/>
      <c r="FZ11" s="154"/>
      <c r="GA11" s="150"/>
      <c r="GB11" s="151"/>
      <c r="GC11" s="151"/>
      <c r="GD11" s="151"/>
      <c r="GE11" s="156"/>
      <c r="GF11" s="151"/>
      <c r="GG11" s="151"/>
      <c r="GH11" s="151"/>
      <c r="GI11" s="151"/>
      <c r="GJ11" s="150"/>
      <c r="GK11" s="151"/>
      <c r="GL11" s="151"/>
      <c r="GM11" s="154"/>
      <c r="GS11" s="124"/>
      <c r="GV11" s="126"/>
      <c r="HA11" s="124"/>
      <c r="HE11" s="126"/>
      <c r="HJ11" s="124"/>
      <c r="HM11" s="126"/>
      <c r="HS11" s="124"/>
      <c r="HV11" s="126"/>
      <c r="IA11" s="124"/>
      <c r="IE11" s="125"/>
      <c r="IF11" s="124"/>
      <c r="II11" s="126"/>
      <c r="IN11" s="124"/>
      <c r="IR11" s="126"/>
      <c r="IW11" s="124"/>
      <c r="IZ11" s="126"/>
      <c r="JF11" s="124"/>
      <c r="JI11" s="126"/>
      <c r="JN11" s="124"/>
      <c r="JR11" s="126"/>
      <c r="JW11" s="124"/>
      <c r="JZ11" s="126"/>
      <c r="KD11" s="141"/>
      <c r="KE11" s="124"/>
      <c r="KH11" s="126"/>
    </row>
    <row r="12" spans="1:294" ht="21" customHeight="1">
      <c r="B12" s="143" t="s">
        <v>170</v>
      </c>
      <c r="C12" s="319" t="s">
        <v>171</v>
      </c>
      <c r="D12" s="129"/>
      <c r="E12" s="130"/>
      <c r="F12" s="131"/>
      <c r="G12" s="131"/>
      <c r="H12" s="131"/>
      <c r="I12" s="132"/>
      <c r="J12" s="133"/>
      <c r="K12" s="131"/>
      <c r="L12" s="131"/>
      <c r="M12" s="132"/>
      <c r="N12" s="134"/>
      <c r="O12" s="131"/>
      <c r="P12" s="131"/>
      <c r="Q12" s="132"/>
      <c r="R12" s="134"/>
      <c r="S12" s="131"/>
      <c r="T12" s="131"/>
      <c r="U12" s="132"/>
      <c r="V12" s="130"/>
      <c r="W12" s="131"/>
      <c r="X12" s="131"/>
      <c r="Y12" s="131"/>
      <c r="Z12" s="132"/>
      <c r="AA12" s="134"/>
      <c r="AB12" s="131"/>
      <c r="AC12" s="131"/>
      <c r="AD12" s="132"/>
      <c r="AE12" s="134"/>
      <c r="AF12" s="131"/>
      <c r="AG12" s="131"/>
      <c r="AH12" s="132"/>
      <c r="AI12" s="134"/>
      <c r="AJ12" s="131"/>
      <c r="AK12" s="135"/>
      <c r="AL12" s="131"/>
      <c r="AM12" s="132"/>
      <c r="AN12" s="134"/>
      <c r="AO12" s="131"/>
      <c r="AP12" s="131"/>
      <c r="AQ12" s="132"/>
      <c r="AR12" s="134"/>
      <c r="AS12" s="131"/>
      <c r="AT12" s="131"/>
      <c r="AU12" s="131"/>
      <c r="AV12" s="132"/>
      <c r="AW12" s="134"/>
      <c r="AX12" s="131"/>
      <c r="AY12" s="131"/>
      <c r="AZ12" s="132"/>
      <c r="BA12" s="134"/>
      <c r="BB12" s="131"/>
      <c r="BC12" s="131"/>
      <c r="BD12" s="132"/>
      <c r="BE12" s="134"/>
      <c r="BF12" s="136"/>
      <c r="BG12" s="136"/>
      <c r="BH12" s="131"/>
      <c r="BI12" s="132"/>
      <c r="BJ12" s="133"/>
      <c r="BK12" s="135"/>
      <c r="BL12" s="131"/>
      <c r="BM12" s="136"/>
      <c r="BN12" s="134"/>
      <c r="BO12" s="131"/>
      <c r="BP12" s="131"/>
      <c r="BQ12" s="132"/>
      <c r="BR12" s="133"/>
      <c r="BS12" s="131"/>
      <c r="BT12" s="131"/>
      <c r="BU12" s="131"/>
      <c r="BV12" s="136"/>
      <c r="BW12" s="134"/>
      <c r="BX12" s="131"/>
      <c r="BY12" s="131"/>
      <c r="BZ12" s="132"/>
      <c r="CA12" s="133"/>
      <c r="CB12" s="131"/>
      <c r="CC12" s="131"/>
      <c r="CD12" s="132"/>
      <c r="CE12" s="137"/>
      <c r="CF12" s="133"/>
      <c r="CG12" s="138"/>
      <c r="CH12" s="138"/>
      <c r="CI12" s="139"/>
      <c r="CJ12" s="134"/>
      <c r="CK12" s="138"/>
      <c r="CL12" s="138"/>
      <c r="CM12" s="140"/>
      <c r="CR12" s="124"/>
      <c r="CV12" s="125"/>
      <c r="CW12" s="124"/>
      <c r="CZ12" s="126"/>
      <c r="DA12" s="124"/>
      <c r="DC12" s="193"/>
      <c r="DE12" s="124"/>
      <c r="DJ12" s="124"/>
      <c r="DK12" s="125"/>
      <c r="DM12" s="126"/>
      <c r="DN12" s="124"/>
      <c r="DS12" s="124"/>
      <c r="EA12" s="124"/>
      <c r="EE12" s="125"/>
      <c r="EF12" s="124"/>
      <c r="EJ12" s="124"/>
      <c r="EN12" s="124"/>
      <c r="ER12" s="126"/>
      <c r="EV12" s="125"/>
      <c r="EW12" s="124"/>
      <c r="EZ12" s="126"/>
      <c r="FF12" s="124"/>
      <c r="FI12" s="126"/>
      <c r="FK12" s="125"/>
      <c r="FN12" s="124"/>
      <c r="FR12" s="126"/>
      <c r="FW12" s="124"/>
      <c r="FZ12" s="126"/>
      <c r="GA12" s="124"/>
      <c r="GE12" s="141"/>
      <c r="GJ12" s="124"/>
      <c r="GM12" s="126"/>
      <c r="GS12" s="124"/>
      <c r="GV12" s="126"/>
      <c r="HA12" s="124"/>
      <c r="HE12" s="126"/>
      <c r="HJ12" s="124"/>
      <c r="HM12" s="126"/>
      <c r="HS12" s="124"/>
      <c r="HV12" s="126"/>
      <c r="IA12" s="124"/>
      <c r="IE12" s="125"/>
      <c r="IF12" s="124"/>
      <c r="II12" s="126"/>
      <c r="IN12" s="124"/>
      <c r="IR12" s="126"/>
      <c r="IW12" s="124"/>
      <c r="IZ12" s="126"/>
      <c r="JF12" s="124"/>
      <c r="JI12" s="126"/>
      <c r="JN12" s="124"/>
      <c r="JR12" s="126"/>
      <c r="JW12" s="124"/>
      <c r="JZ12" s="126"/>
      <c r="KD12" s="141"/>
      <c r="KE12" s="124"/>
      <c r="KH12" s="126"/>
    </row>
    <row r="13" spans="1:294" ht="21" customHeight="1">
      <c r="B13" s="127"/>
      <c r="C13" s="194" t="s">
        <v>172</v>
      </c>
      <c r="D13" s="129"/>
      <c r="E13" s="130"/>
      <c r="F13" s="131"/>
      <c r="G13" s="131"/>
      <c r="H13" s="131"/>
      <c r="I13" s="132"/>
      <c r="J13" s="133"/>
      <c r="K13" s="131"/>
      <c r="L13" s="131"/>
      <c r="M13" s="132"/>
      <c r="N13" s="134"/>
      <c r="O13" s="131"/>
      <c r="P13" s="131"/>
      <c r="Q13" s="132"/>
      <c r="R13" s="134"/>
      <c r="S13" s="131"/>
      <c r="T13" s="131"/>
      <c r="U13" s="132"/>
      <c r="V13" s="130"/>
      <c r="W13" s="131"/>
      <c r="X13" s="131"/>
      <c r="Y13" s="131"/>
      <c r="Z13" s="132"/>
      <c r="AA13" s="134"/>
      <c r="AB13" s="131"/>
      <c r="AC13" s="131"/>
      <c r="AD13" s="132"/>
      <c r="AE13" s="134"/>
      <c r="AF13" s="131"/>
      <c r="AG13" s="131"/>
      <c r="AH13" s="132"/>
      <c r="AI13" s="134"/>
      <c r="AJ13" s="131"/>
      <c r="AK13" s="135"/>
      <c r="AL13" s="131"/>
      <c r="AM13" s="132"/>
      <c r="AN13" s="134"/>
      <c r="AO13" s="131"/>
      <c r="AP13" s="131"/>
      <c r="AQ13" s="132"/>
      <c r="AR13" s="134"/>
      <c r="AS13" s="131"/>
      <c r="AT13" s="131"/>
      <c r="AU13" s="131"/>
      <c r="AV13" s="132"/>
      <c r="AW13" s="134"/>
      <c r="AX13" s="131"/>
      <c r="AY13" s="131"/>
      <c r="AZ13" s="132"/>
      <c r="BA13" s="134"/>
      <c r="BB13" s="131"/>
      <c r="BC13" s="131"/>
      <c r="BD13" s="132"/>
      <c r="BE13" s="134"/>
      <c r="BF13" s="136"/>
      <c r="BG13" s="136"/>
      <c r="BH13" s="131"/>
      <c r="BI13" s="132"/>
      <c r="BJ13" s="133"/>
      <c r="BK13" s="135"/>
      <c r="BL13" s="131"/>
      <c r="BM13" s="136"/>
      <c r="BN13" s="134"/>
      <c r="BO13" s="131"/>
      <c r="BP13" s="131"/>
      <c r="BQ13" s="132"/>
      <c r="BR13" s="133"/>
      <c r="BS13" s="131"/>
      <c r="BT13" s="131"/>
      <c r="BU13" s="131"/>
      <c r="BV13" s="136"/>
      <c r="BW13" s="134"/>
      <c r="BX13" s="131"/>
      <c r="BY13" s="131"/>
      <c r="BZ13" s="132"/>
      <c r="CA13" s="133"/>
      <c r="CB13" s="131"/>
      <c r="CC13" s="131"/>
      <c r="CD13" s="132"/>
      <c r="CE13" s="137"/>
      <c r="CF13" s="133"/>
      <c r="CG13" s="138"/>
      <c r="CH13" s="138"/>
      <c r="CI13" s="139"/>
      <c r="CJ13" s="134"/>
      <c r="CK13" s="138"/>
      <c r="CL13" s="138"/>
      <c r="CM13" s="140"/>
      <c r="CR13" s="124"/>
      <c r="CV13" s="125"/>
      <c r="CW13" s="124"/>
      <c r="CZ13" s="126"/>
      <c r="DA13" s="124"/>
      <c r="DC13" s="193"/>
      <c r="DE13" s="124"/>
      <c r="DJ13" s="124"/>
      <c r="DK13" s="125"/>
      <c r="DM13" s="126"/>
      <c r="DN13" s="124"/>
      <c r="DS13" s="124"/>
      <c r="EA13" s="124"/>
      <c r="EE13" s="125"/>
      <c r="EF13" s="124"/>
      <c r="EJ13" s="124"/>
      <c r="EN13" s="124"/>
      <c r="ER13" s="126"/>
      <c r="EV13" s="125"/>
      <c r="EW13" s="124"/>
      <c r="EZ13" s="126"/>
      <c r="FF13" s="124"/>
      <c r="FI13" s="126"/>
      <c r="FK13" s="125"/>
      <c r="FN13" s="124"/>
      <c r="FR13" s="126"/>
      <c r="FW13" s="124"/>
      <c r="FZ13" s="126"/>
      <c r="GA13" s="124"/>
      <c r="GE13" s="141"/>
      <c r="GJ13" s="124"/>
      <c r="GM13" s="126"/>
      <c r="GS13" s="124"/>
      <c r="GV13" s="126"/>
      <c r="HA13" s="124"/>
      <c r="HE13" s="126"/>
      <c r="HJ13" s="124"/>
      <c r="HM13" s="126"/>
      <c r="HS13" s="124"/>
      <c r="HV13" s="126"/>
      <c r="IA13" s="124"/>
      <c r="IE13" s="125"/>
      <c r="IF13" s="124"/>
      <c r="II13" s="126"/>
      <c r="IN13" s="124"/>
      <c r="IR13" s="126"/>
      <c r="IW13" s="124"/>
      <c r="IZ13" s="126"/>
      <c r="JF13" s="124"/>
      <c r="JI13" s="126"/>
      <c r="JN13" s="124"/>
      <c r="JR13" s="126"/>
      <c r="JW13" s="124"/>
      <c r="JZ13" s="126"/>
      <c r="KD13" s="141"/>
      <c r="KE13" s="124"/>
      <c r="KH13" s="126"/>
    </row>
    <row r="14" spans="1:294" ht="21" customHeight="1">
      <c r="B14" s="127"/>
      <c r="C14" s="194" t="s">
        <v>173</v>
      </c>
      <c r="D14" s="129"/>
      <c r="E14" s="130"/>
      <c r="F14" s="131"/>
      <c r="G14" s="131"/>
      <c r="H14" s="131"/>
      <c r="I14" s="132"/>
      <c r="J14" s="133"/>
      <c r="K14" s="131"/>
      <c r="L14" s="131"/>
      <c r="M14" s="132"/>
      <c r="N14" s="134"/>
      <c r="O14" s="131"/>
      <c r="P14" s="131"/>
      <c r="Q14" s="132"/>
      <c r="R14" s="134"/>
      <c r="S14" s="131"/>
      <c r="T14" s="131"/>
      <c r="U14" s="132"/>
      <c r="V14" s="130"/>
      <c r="W14" s="131"/>
      <c r="X14" s="131"/>
      <c r="Y14" s="131"/>
      <c r="Z14" s="132"/>
      <c r="AA14" s="134"/>
      <c r="AB14" s="131"/>
      <c r="AC14" s="131"/>
      <c r="AD14" s="132"/>
      <c r="AE14" s="134"/>
      <c r="AF14" s="131"/>
      <c r="AG14" s="131"/>
      <c r="AH14" s="132"/>
      <c r="AI14" s="134"/>
      <c r="AJ14" s="131"/>
      <c r="AK14" s="135"/>
      <c r="AL14" s="131"/>
      <c r="AM14" s="132"/>
      <c r="AN14" s="134"/>
      <c r="AO14" s="131"/>
      <c r="AP14" s="131"/>
      <c r="AQ14" s="132"/>
      <c r="AR14" s="134"/>
      <c r="AS14" s="131"/>
      <c r="AT14" s="131"/>
      <c r="AU14" s="131"/>
      <c r="AV14" s="132"/>
      <c r="AW14" s="134"/>
      <c r="AX14" s="131"/>
      <c r="AY14" s="131"/>
      <c r="AZ14" s="132"/>
      <c r="BA14" s="134"/>
      <c r="BB14" s="131"/>
      <c r="BC14" s="131"/>
      <c r="BD14" s="132"/>
      <c r="BE14" s="134"/>
      <c r="BF14" s="136"/>
      <c r="BG14" s="136"/>
      <c r="BH14" s="131"/>
      <c r="BI14" s="132"/>
      <c r="BJ14" s="133"/>
      <c r="BK14" s="135"/>
      <c r="BL14" s="131"/>
      <c r="BM14" s="136"/>
      <c r="BN14" s="134"/>
      <c r="BO14" s="131"/>
      <c r="BP14" s="131"/>
      <c r="BQ14" s="132"/>
      <c r="BR14" s="133"/>
      <c r="BS14" s="131"/>
      <c r="BT14" s="131"/>
      <c r="BU14" s="131"/>
      <c r="BV14" s="136"/>
      <c r="BW14" s="134"/>
      <c r="BX14" s="131"/>
      <c r="BY14" s="131"/>
      <c r="BZ14" s="132"/>
      <c r="CA14" s="133"/>
      <c r="CB14" s="131"/>
      <c r="CC14" s="131"/>
      <c r="CD14" s="132"/>
      <c r="CE14" s="137"/>
      <c r="CF14" s="133"/>
      <c r="CG14" s="138"/>
      <c r="CH14" s="138"/>
      <c r="CI14" s="139"/>
      <c r="CJ14" s="134"/>
      <c r="CK14" s="138"/>
      <c r="CL14" s="138"/>
      <c r="CM14" s="140"/>
      <c r="CR14" s="124"/>
      <c r="CV14" s="125"/>
      <c r="CW14" s="124"/>
      <c r="CZ14" s="126"/>
      <c r="DA14" s="124"/>
      <c r="DC14" s="193"/>
      <c r="DE14" s="124"/>
      <c r="DJ14" s="124"/>
      <c r="DK14" s="125"/>
      <c r="DM14" s="126"/>
      <c r="DN14" s="124"/>
      <c r="DS14" s="124"/>
      <c r="EA14" s="124"/>
      <c r="EE14" s="125"/>
      <c r="EF14" s="124"/>
      <c r="EJ14" s="124"/>
      <c r="EN14" s="124"/>
      <c r="ER14" s="126"/>
      <c r="EV14" s="125"/>
      <c r="EW14" s="124"/>
      <c r="EZ14" s="126"/>
      <c r="FF14" s="124"/>
      <c r="FI14" s="126"/>
      <c r="FK14" s="125"/>
      <c r="FN14" s="124"/>
      <c r="FR14" s="126"/>
      <c r="FW14" s="124"/>
      <c r="FZ14" s="126"/>
      <c r="GA14" s="124"/>
      <c r="GE14" s="141"/>
      <c r="GJ14" s="124"/>
      <c r="GM14" s="126"/>
      <c r="GS14" s="124"/>
      <c r="GV14" s="126"/>
      <c r="HA14" s="124"/>
      <c r="HE14" s="126"/>
      <c r="HJ14" s="124"/>
      <c r="HM14" s="126"/>
      <c r="HS14" s="124"/>
      <c r="HV14" s="126"/>
      <c r="IA14" s="124"/>
      <c r="IE14" s="125"/>
      <c r="IF14" s="124"/>
      <c r="II14" s="126"/>
      <c r="IN14" s="124"/>
      <c r="IR14" s="126"/>
      <c r="IW14" s="124"/>
      <c r="IZ14" s="126"/>
      <c r="JF14" s="124"/>
      <c r="JI14" s="126"/>
      <c r="JN14" s="124"/>
      <c r="JR14" s="126"/>
      <c r="JW14" s="124"/>
      <c r="JZ14" s="126"/>
      <c r="KD14" s="141"/>
      <c r="KE14" s="124"/>
      <c r="KH14" s="126"/>
    </row>
    <row r="15" spans="1:294" ht="21" customHeight="1">
      <c r="A15" s="198"/>
      <c r="B15" s="127"/>
      <c r="C15" s="192"/>
      <c r="D15" s="129"/>
      <c r="E15" s="130"/>
      <c r="F15" s="131"/>
      <c r="G15" s="131"/>
      <c r="H15" s="131"/>
      <c r="I15" s="132"/>
      <c r="J15" s="133"/>
      <c r="K15" s="131"/>
      <c r="L15" s="131"/>
      <c r="M15" s="132"/>
      <c r="N15" s="134"/>
      <c r="O15" s="131"/>
      <c r="P15" s="131"/>
      <c r="Q15" s="132"/>
      <c r="R15" s="134"/>
      <c r="S15" s="131"/>
      <c r="T15" s="131"/>
      <c r="U15" s="132"/>
      <c r="V15" s="130"/>
      <c r="W15" s="131"/>
      <c r="X15" s="131"/>
      <c r="Y15" s="131"/>
      <c r="Z15" s="132"/>
      <c r="AA15" s="134"/>
      <c r="AB15" s="131"/>
      <c r="AC15" s="131"/>
      <c r="AD15" s="132"/>
      <c r="AE15" s="134"/>
      <c r="AF15" s="131"/>
      <c r="AG15" s="131"/>
      <c r="AH15" s="132"/>
      <c r="AI15" s="134"/>
      <c r="AJ15" s="131"/>
      <c r="AK15" s="135"/>
      <c r="AL15" s="131"/>
      <c r="AM15" s="132"/>
      <c r="AN15" s="134"/>
      <c r="AO15" s="131"/>
      <c r="AP15" s="131"/>
      <c r="AQ15" s="132"/>
      <c r="AR15" s="134"/>
      <c r="AS15" s="131"/>
      <c r="AT15" s="131"/>
      <c r="AU15" s="131"/>
      <c r="AV15" s="132"/>
      <c r="AW15" s="134"/>
      <c r="AX15" s="131"/>
      <c r="AY15" s="131"/>
      <c r="AZ15" s="132"/>
      <c r="BA15" s="134"/>
      <c r="BB15" s="131"/>
      <c r="BC15" s="131"/>
      <c r="BD15" s="132"/>
      <c r="BE15" s="134"/>
      <c r="BF15" s="136"/>
      <c r="BG15" s="136"/>
      <c r="BH15" s="131"/>
      <c r="BI15" s="132"/>
      <c r="BJ15" s="133"/>
      <c r="BK15" s="135"/>
      <c r="BL15" s="131"/>
      <c r="BM15" s="136"/>
      <c r="BN15" s="134"/>
      <c r="BO15" s="131"/>
      <c r="BP15" s="131"/>
      <c r="BQ15" s="132"/>
      <c r="BR15" s="133"/>
      <c r="BS15" s="131"/>
      <c r="BT15" s="131"/>
      <c r="BU15" s="131"/>
      <c r="BV15" s="136"/>
      <c r="BW15" s="134"/>
      <c r="BX15" s="131"/>
      <c r="BY15" s="131"/>
      <c r="BZ15" s="132"/>
      <c r="CA15" s="133"/>
      <c r="CB15" s="131"/>
      <c r="CC15" s="131"/>
      <c r="CD15" s="132"/>
      <c r="CE15" s="137"/>
      <c r="CF15" s="133"/>
      <c r="CG15" s="138"/>
      <c r="CH15" s="138"/>
      <c r="CI15" s="139"/>
      <c r="CJ15" s="134"/>
      <c r="CK15" s="138"/>
      <c r="CL15" s="138"/>
      <c r="CM15" s="140"/>
      <c r="CR15" s="124"/>
      <c r="CV15" s="125"/>
      <c r="CW15" s="124"/>
      <c r="CZ15" s="126"/>
      <c r="DA15" s="124"/>
      <c r="DC15" s="193"/>
      <c r="DE15" s="124"/>
      <c r="DJ15" s="124"/>
      <c r="DK15" s="125"/>
      <c r="DM15" s="126"/>
      <c r="DN15" s="124"/>
      <c r="DS15" s="124"/>
      <c r="EA15" s="124"/>
      <c r="EE15" s="125"/>
      <c r="EF15" s="124"/>
      <c r="EJ15" s="124"/>
      <c r="EN15" s="124"/>
      <c r="ER15" s="126"/>
      <c r="EV15" s="125"/>
      <c r="EW15" s="124"/>
      <c r="EZ15" s="126"/>
      <c r="FF15" s="124"/>
      <c r="FI15" s="126"/>
      <c r="FK15" s="125"/>
      <c r="FN15" s="124"/>
      <c r="FR15" s="126"/>
      <c r="FW15" s="124"/>
      <c r="FZ15" s="126"/>
      <c r="GA15" s="124"/>
      <c r="GE15" s="141"/>
      <c r="GJ15" s="124"/>
      <c r="GM15" s="126"/>
      <c r="GS15" s="124"/>
      <c r="GV15" s="126"/>
      <c r="HA15" s="124"/>
      <c r="HE15" s="126"/>
      <c r="HJ15" s="124"/>
      <c r="HM15" s="126"/>
      <c r="HS15" s="124"/>
      <c r="HV15" s="126"/>
      <c r="IA15" s="124"/>
      <c r="IE15" s="125"/>
      <c r="IF15" s="124"/>
      <c r="II15" s="126"/>
      <c r="IN15" s="124"/>
      <c r="IR15" s="126"/>
      <c r="IW15" s="124"/>
      <c r="IZ15" s="126"/>
      <c r="JF15" s="124"/>
      <c r="JI15" s="126"/>
      <c r="JN15" s="124"/>
      <c r="JR15" s="126"/>
      <c r="JW15" s="124"/>
      <c r="JZ15" s="126"/>
      <c r="KD15" s="141"/>
      <c r="KE15" s="124"/>
      <c r="KH15" s="126"/>
    </row>
    <row r="16" spans="1:294" ht="21" customHeight="1">
      <c r="B16" s="127"/>
      <c r="C16" s="192"/>
      <c r="D16" s="199"/>
      <c r="E16" s="200"/>
      <c r="F16" s="201"/>
      <c r="G16" s="201"/>
      <c r="H16" s="201"/>
      <c r="I16" s="202"/>
      <c r="J16" s="203"/>
      <c r="K16" s="201"/>
      <c r="L16" s="201"/>
      <c r="M16" s="202"/>
      <c r="N16" s="204"/>
      <c r="O16" s="201"/>
      <c r="P16" s="201"/>
      <c r="Q16" s="202"/>
      <c r="R16" s="204"/>
      <c r="S16" s="201"/>
      <c r="T16" s="201"/>
      <c r="U16" s="202"/>
      <c r="V16" s="200"/>
      <c r="W16" s="201"/>
      <c r="X16" s="201"/>
      <c r="Y16" s="201"/>
      <c r="Z16" s="202"/>
      <c r="AA16" s="204"/>
      <c r="AB16" s="201"/>
      <c r="AC16" s="201"/>
      <c r="AD16" s="202"/>
      <c r="AE16" s="204"/>
      <c r="AF16" s="201"/>
      <c r="AG16" s="201"/>
      <c r="AH16" s="202"/>
      <c r="AI16" s="204"/>
      <c r="AJ16" s="201"/>
      <c r="AK16" s="205"/>
      <c r="AL16" s="201"/>
      <c r="AM16" s="202"/>
      <c r="AN16" s="204"/>
      <c r="AO16" s="201"/>
      <c r="AP16" s="201"/>
      <c r="AQ16" s="202"/>
      <c r="AR16" s="204"/>
      <c r="AS16" s="201"/>
      <c r="AT16" s="201"/>
      <c r="AU16" s="201"/>
      <c r="AV16" s="202"/>
      <c r="AW16" s="204"/>
      <c r="AX16" s="201"/>
      <c r="AY16" s="201"/>
      <c r="AZ16" s="202"/>
      <c r="BA16" s="204"/>
      <c r="BB16" s="201"/>
      <c r="BC16" s="201"/>
      <c r="BD16" s="202"/>
      <c r="BE16" s="204"/>
      <c r="BF16" s="206"/>
      <c r="BG16" s="206"/>
      <c r="BH16" s="201"/>
      <c r="BI16" s="202"/>
      <c r="BJ16" s="203"/>
      <c r="BK16" s="205"/>
      <c r="BL16" s="201"/>
      <c r="BM16" s="206"/>
      <c r="BN16" s="204"/>
      <c r="BO16" s="201"/>
      <c r="BP16" s="201"/>
      <c r="BQ16" s="202"/>
      <c r="BR16" s="203"/>
      <c r="BS16" s="201"/>
      <c r="BT16" s="201"/>
      <c r="BU16" s="201"/>
      <c r="BV16" s="206"/>
      <c r="BW16" s="204"/>
      <c r="BX16" s="201"/>
      <c r="BY16" s="201"/>
      <c r="BZ16" s="202"/>
      <c r="CA16" s="203"/>
      <c r="CB16" s="201"/>
      <c r="CC16" s="201"/>
      <c r="CD16" s="202"/>
      <c r="CE16" s="207"/>
      <c r="CF16" s="203"/>
      <c r="CG16" s="208"/>
      <c r="CH16" s="208"/>
      <c r="CI16" s="209"/>
      <c r="CJ16" s="204"/>
      <c r="CK16" s="208"/>
      <c r="CL16" s="208"/>
      <c r="CM16" s="210"/>
      <c r="CN16" s="195"/>
      <c r="CO16" s="195"/>
      <c r="CP16" s="195"/>
      <c r="CQ16" s="195"/>
      <c r="CR16" s="196"/>
      <c r="CS16" s="195"/>
      <c r="CT16" s="195"/>
      <c r="CU16" s="195"/>
      <c r="CV16" s="211"/>
      <c r="CW16" s="196"/>
      <c r="CX16" s="195"/>
      <c r="CY16" s="195"/>
      <c r="CZ16" s="197"/>
      <c r="DA16" s="196"/>
      <c r="DB16" s="195"/>
      <c r="DC16" s="212"/>
      <c r="DD16" s="195"/>
      <c r="DE16" s="196"/>
      <c r="DF16" s="195"/>
      <c r="DG16" s="195"/>
      <c r="DH16" s="195"/>
      <c r="DI16" s="195"/>
      <c r="DJ16" s="196"/>
      <c r="DK16" s="211"/>
      <c r="DL16" s="195"/>
      <c r="DM16" s="197"/>
      <c r="DN16" s="196"/>
      <c r="DO16" s="195"/>
      <c r="DP16" s="195"/>
      <c r="DQ16" s="195"/>
      <c r="DR16" s="195"/>
      <c r="DS16" s="196"/>
      <c r="DT16" s="195"/>
      <c r="DU16" s="195"/>
      <c r="DV16" s="195"/>
      <c r="DW16" s="195"/>
      <c r="DX16" s="195"/>
      <c r="DY16" s="195"/>
      <c r="DZ16" s="195"/>
      <c r="EA16" s="196"/>
      <c r="EB16" s="195"/>
      <c r="EC16" s="195"/>
      <c r="ED16" s="195"/>
      <c r="EE16" s="211"/>
      <c r="EF16" s="196"/>
      <c r="EG16" s="195"/>
      <c r="EH16" s="195"/>
      <c r="EI16" s="195"/>
      <c r="EJ16" s="196"/>
      <c r="EK16" s="195"/>
      <c r="EL16" s="195"/>
      <c r="EM16" s="195"/>
      <c r="EN16" s="196"/>
      <c r="EO16" s="195"/>
      <c r="EP16" s="195"/>
      <c r="EQ16" s="195"/>
      <c r="ER16" s="197"/>
      <c r="ES16" s="195"/>
      <c r="ET16" s="195"/>
      <c r="EU16" s="195"/>
      <c r="EV16" s="211"/>
      <c r="EW16" s="196"/>
      <c r="EX16" s="195"/>
      <c r="EY16" s="195"/>
      <c r="EZ16" s="197"/>
      <c r="FA16" s="195"/>
      <c r="FB16" s="195"/>
      <c r="FC16" s="195"/>
      <c r="FD16" s="195"/>
      <c r="FE16" s="195"/>
      <c r="FF16" s="196"/>
      <c r="FG16" s="195"/>
      <c r="FH16" s="195"/>
      <c r="FI16" s="197"/>
      <c r="FJ16" s="195"/>
      <c r="FK16" s="211"/>
      <c r="FL16" s="195"/>
      <c r="FN16" s="124"/>
      <c r="FR16" s="126"/>
      <c r="FW16" s="124"/>
      <c r="FZ16" s="126"/>
      <c r="GA16" s="124"/>
      <c r="GE16" s="141"/>
      <c r="GJ16" s="124"/>
      <c r="GM16" s="126"/>
      <c r="GS16" s="124"/>
      <c r="GV16" s="126"/>
      <c r="HA16" s="124"/>
      <c r="HE16" s="126"/>
      <c r="HJ16" s="124"/>
      <c r="HM16" s="126"/>
      <c r="HS16" s="124"/>
      <c r="HV16" s="126"/>
      <c r="IA16" s="124"/>
      <c r="IE16" s="125"/>
      <c r="IF16" s="124"/>
      <c r="II16" s="126"/>
      <c r="IN16" s="124"/>
      <c r="IR16" s="126"/>
      <c r="IW16" s="124"/>
      <c r="IZ16" s="126"/>
      <c r="JF16" s="124"/>
      <c r="JI16" s="126"/>
      <c r="JN16" s="124"/>
      <c r="JR16" s="126"/>
      <c r="JW16" s="124"/>
      <c r="JZ16" s="126"/>
      <c r="KD16" s="141"/>
      <c r="KE16" s="124"/>
      <c r="KH16" s="126"/>
    </row>
    <row r="17" spans="1:294" ht="21" customHeight="1">
      <c r="B17" s="127"/>
      <c r="C17" s="192"/>
      <c r="D17" s="129"/>
      <c r="E17" s="130"/>
      <c r="F17" s="131"/>
      <c r="G17" s="131"/>
      <c r="H17" s="131"/>
      <c r="I17" s="132"/>
      <c r="J17" s="133"/>
      <c r="K17" s="131"/>
      <c r="L17" s="131"/>
      <c r="M17" s="132"/>
      <c r="N17" s="134"/>
      <c r="O17" s="131"/>
      <c r="P17" s="131"/>
      <c r="Q17" s="132"/>
      <c r="R17" s="134"/>
      <c r="S17" s="131"/>
      <c r="T17" s="131"/>
      <c r="U17" s="132"/>
      <c r="V17" s="130"/>
      <c r="W17" s="131"/>
      <c r="X17" s="131"/>
      <c r="Y17" s="131"/>
      <c r="Z17" s="132"/>
      <c r="AA17" s="134"/>
      <c r="AB17" s="131"/>
      <c r="AC17" s="131"/>
      <c r="AD17" s="132"/>
      <c r="AE17" s="134"/>
      <c r="AF17" s="131"/>
      <c r="AG17" s="131"/>
      <c r="AH17" s="132"/>
      <c r="AI17" s="134"/>
      <c r="AJ17" s="131"/>
      <c r="AK17" s="135"/>
      <c r="AL17" s="131"/>
      <c r="AM17" s="132"/>
      <c r="AN17" s="134"/>
      <c r="AO17" s="131"/>
      <c r="AP17" s="131"/>
      <c r="AQ17" s="132"/>
      <c r="AR17" s="134"/>
      <c r="AS17" s="131"/>
      <c r="AT17" s="131"/>
      <c r="AU17" s="131"/>
      <c r="AV17" s="132"/>
      <c r="AW17" s="134"/>
      <c r="AX17" s="131"/>
      <c r="AY17" s="131"/>
      <c r="AZ17" s="132"/>
      <c r="BA17" s="134"/>
      <c r="BB17" s="131"/>
      <c r="BC17" s="131"/>
      <c r="BD17" s="132"/>
      <c r="BE17" s="134"/>
      <c r="BF17" s="136"/>
      <c r="BG17" s="136"/>
      <c r="BH17" s="131"/>
      <c r="BI17" s="132"/>
      <c r="BJ17" s="133"/>
      <c r="BK17" s="135"/>
      <c r="BL17" s="131"/>
      <c r="BM17" s="136"/>
      <c r="BN17" s="134"/>
      <c r="BO17" s="131"/>
      <c r="BP17" s="131"/>
      <c r="BQ17" s="132"/>
      <c r="BR17" s="133"/>
      <c r="BS17" s="131"/>
      <c r="BT17" s="131"/>
      <c r="BU17" s="131"/>
      <c r="BV17" s="136"/>
      <c r="BW17" s="134"/>
      <c r="BX17" s="131"/>
      <c r="BY17" s="131"/>
      <c r="BZ17" s="132"/>
      <c r="CA17" s="133"/>
      <c r="CB17" s="131"/>
      <c r="CC17" s="131"/>
      <c r="CD17" s="132"/>
      <c r="CE17" s="137"/>
      <c r="CF17" s="133"/>
      <c r="CG17" s="138"/>
      <c r="CH17" s="138"/>
      <c r="CI17" s="139"/>
      <c r="CJ17" s="134"/>
      <c r="CK17" s="138"/>
      <c r="CL17" s="138"/>
      <c r="CM17" s="140"/>
      <c r="CR17" s="124"/>
      <c r="CV17" s="125"/>
      <c r="CW17" s="124"/>
      <c r="CZ17" s="126"/>
      <c r="DA17" s="124"/>
      <c r="DC17" s="193"/>
      <c r="DE17" s="124"/>
      <c r="DJ17" s="124"/>
      <c r="DK17" s="125"/>
      <c r="DM17" s="126"/>
      <c r="DN17" s="124"/>
      <c r="DS17" s="124"/>
      <c r="EA17" s="124"/>
      <c r="EE17" s="125"/>
      <c r="EF17" s="124"/>
      <c r="EJ17" s="124"/>
      <c r="EN17" s="124"/>
      <c r="ER17" s="126"/>
      <c r="EV17" s="125"/>
      <c r="EW17" s="124"/>
      <c r="EZ17" s="126"/>
      <c r="FF17" s="124"/>
      <c r="FI17" s="126"/>
      <c r="FK17" s="125"/>
      <c r="FN17" s="124"/>
      <c r="FR17" s="126"/>
      <c r="FW17" s="124"/>
      <c r="FZ17" s="126"/>
      <c r="GA17" s="124"/>
      <c r="GE17" s="141"/>
      <c r="GJ17" s="124"/>
      <c r="GM17" s="126"/>
      <c r="GS17" s="124"/>
      <c r="GV17" s="126"/>
      <c r="HA17" s="124"/>
      <c r="HE17" s="126"/>
      <c r="HJ17" s="124"/>
      <c r="HM17" s="126"/>
      <c r="HS17" s="124"/>
      <c r="HV17" s="126"/>
      <c r="IA17" s="124"/>
      <c r="IE17" s="125"/>
      <c r="IF17" s="124"/>
      <c r="II17" s="126"/>
      <c r="IN17" s="124"/>
      <c r="IR17" s="126"/>
      <c r="IW17" s="124"/>
      <c r="IZ17" s="126"/>
      <c r="JF17" s="124"/>
      <c r="JI17" s="126"/>
      <c r="JN17" s="124"/>
      <c r="JR17" s="126"/>
      <c r="JW17" s="124"/>
      <c r="JZ17" s="126"/>
      <c r="KD17" s="141"/>
      <c r="KE17" s="124"/>
      <c r="KH17" s="126"/>
    </row>
    <row r="18" spans="1:294" ht="21" customHeight="1">
      <c r="B18" s="127"/>
      <c r="C18" s="192"/>
      <c r="D18" s="129"/>
      <c r="E18" s="130"/>
      <c r="F18" s="131"/>
      <c r="G18" s="131"/>
      <c r="H18" s="131"/>
      <c r="I18" s="132"/>
      <c r="J18" s="133"/>
      <c r="K18" s="131"/>
      <c r="L18" s="131"/>
      <c r="M18" s="132"/>
      <c r="N18" s="134"/>
      <c r="O18" s="131"/>
      <c r="P18" s="131"/>
      <c r="Q18" s="132"/>
      <c r="R18" s="134"/>
      <c r="S18" s="131"/>
      <c r="T18" s="131"/>
      <c r="U18" s="132"/>
      <c r="V18" s="130"/>
      <c r="W18" s="131"/>
      <c r="X18" s="131"/>
      <c r="Y18" s="131"/>
      <c r="Z18" s="132"/>
      <c r="AA18" s="134"/>
      <c r="AB18" s="131"/>
      <c r="AC18" s="131"/>
      <c r="AD18" s="132"/>
      <c r="AE18" s="134"/>
      <c r="AF18" s="131"/>
      <c r="AG18" s="131"/>
      <c r="AH18" s="132"/>
      <c r="AI18" s="134"/>
      <c r="AJ18" s="131"/>
      <c r="AK18" s="135"/>
      <c r="AL18" s="131"/>
      <c r="AM18" s="132"/>
      <c r="AN18" s="134"/>
      <c r="AO18" s="131"/>
      <c r="AP18" s="131"/>
      <c r="AQ18" s="132"/>
      <c r="AR18" s="134"/>
      <c r="AS18" s="131"/>
      <c r="AT18" s="131"/>
      <c r="AU18" s="131"/>
      <c r="AV18" s="132"/>
      <c r="AW18" s="134"/>
      <c r="AX18" s="131"/>
      <c r="AY18" s="131"/>
      <c r="AZ18" s="132"/>
      <c r="BA18" s="134"/>
      <c r="BB18" s="131"/>
      <c r="BC18" s="131"/>
      <c r="BD18" s="132"/>
      <c r="BE18" s="134"/>
      <c r="BF18" s="136"/>
      <c r="BG18" s="136"/>
      <c r="BH18" s="131"/>
      <c r="BI18" s="132"/>
      <c r="BJ18" s="133"/>
      <c r="BK18" s="135"/>
      <c r="BL18" s="131"/>
      <c r="BM18" s="136"/>
      <c r="BN18" s="134"/>
      <c r="BO18" s="131"/>
      <c r="BP18" s="131"/>
      <c r="BQ18" s="132"/>
      <c r="BR18" s="133"/>
      <c r="BS18" s="131"/>
      <c r="BT18" s="131"/>
      <c r="BU18" s="131"/>
      <c r="BV18" s="136"/>
      <c r="BW18" s="134"/>
      <c r="BX18" s="131"/>
      <c r="BY18" s="131"/>
      <c r="BZ18" s="132"/>
      <c r="CA18" s="133"/>
      <c r="CB18" s="131"/>
      <c r="CC18" s="131"/>
      <c r="CD18" s="132"/>
      <c r="CE18" s="137"/>
      <c r="CF18" s="133"/>
      <c r="CG18" s="138"/>
      <c r="CH18" s="138"/>
      <c r="CI18" s="139"/>
      <c r="CJ18" s="134"/>
      <c r="CK18" s="138"/>
      <c r="CL18" s="138"/>
      <c r="CM18" s="140"/>
      <c r="CR18" s="124"/>
      <c r="CV18" s="125"/>
      <c r="CW18" s="124"/>
      <c r="CZ18" s="126"/>
      <c r="DA18" s="124"/>
      <c r="DC18" s="193"/>
      <c r="DE18" s="124"/>
      <c r="DJ18" s="124"/>
      <c r="DK18" s="125"/>
      <c r="DM18" s="126"/>
      <c r="DN18" s="124"/>
      <c r="DS18" s="124"/>
      <c r="EA18" s="124"/>
      <c r="EE18" s="125"/>
      <c r="EF18" s="124"/>
      <c r="EJ18" s="124"/>
      <c r="EN18" s="124"/>
      <c r="ER18" s="126"/>
      <c r="EV18" s="125"/>
      <c r="EW18" s="124"/>
      <c r="EZ18" s="126"/>
      <c r="FF18" s="124"/>
      <c r="FI18" s="126"/>
      <c r="FK18" s="125"/>
      <c r="FN18" s="124"/>
      <c r="FR18" s="126"/>
      <c r="FW18" s="124"/>
      <c r="FZ18" s="126"/>
      <c r="GA18" s="124"/>
      <c r="GE18" s="141"/>
      <c r="GJ18" s="124"/>
      <c r="GM18" s="126"/>
      <c r="GS18" s="124"/>
      <c r="GV18" s="126"/>
      <c r="HA18" s="124"/>
      <c r="HE18" s="126"/>
      <c r="HJ18" s="124"/>
      <c r="HM18" s="126"/>
      <c r="HS18" s="124"/>
      <c r="HV18" s="126"/>
      <c r="IA18" s="124"/>
      <c r="IE18" s="125"/>
      <c r="IF18" s="124"/>
      <c r="II18" s="126"/>
      <c r="IN18" s="124"/>
      <c r="IR18" s="126"/>
      <c r="IW18" s="124"/>
      <c r="IZ18" s="126"/>
      <c r="JF18" s="124"/>
      <c r="JI18" s="126"/>
      <c r="JN18" s="124"/>
      <c r="JR18" s="126"/>
      <c r="JW18" s="124"/>
      <c r="JZ18" s="126"/>
      <c r="KD18" s="141"/>
      <c r="KE18" s="124"/>
      <c r="KH18" s="126"/>
    </row>
    <row r="19" spans="1:294" ht="21" customHeight="1">
      <c r="B19" s="127"/>
      <c r="C19" s="192"/>
      <c r="D19" s="129"/>
      <c r="E19" s="130"/>
      <c r="F19" s="131"/>
      <c r="G19" s="131"/>
      <c r="H19" s="131"/>
      <c r="I19" s="132"/>
      <c r="J19" s="133"/>
      <c r="K19" s="131"/>
      <c r="L19" s="131"/>
      <c r="M19" s="132"/>
      <c r="N19" s="134"/>
      <c r="O19" s="131"/>
      <c r="P19" s="131"/>
      <c r="Q19" s="132"/>
      <c r="R19" s="134"/>
      <c r="S19" s="131"/>
      <c r="T19" s="131"/>
      <c r="U19" s="132"/>
      <c r="V19" s="130"/>
      <c r="W19" s="131"/>
      <c r="X19" s="131"/>
      <c r="Y19" s="131"/>
      <c r="Z19" s="132"/>
      <c r="AA19" s="134"/>
      <c r="AB19" s="131"/>
      <c r="AC19" s="131"/>
      <c r="AD19" s="132"/>
      <c r="AE19" s="134"/>
      <c r="AF19" s="131"/>
      <c r="AG19" s="131"/>
      <c r="AH19" s="132"/>
      <c r="AI19" s="134"/>
      <c r="AJ19" s="131"/>
      <c r="AK19" s="135"/>
      <c r="AL19" s="131"/>
      <c r="AM19" s="132"/>
      <c r="AN19" s="134"/>
      <c r="AO19" s="131"/>
      <c r="AP19" s="131"/>
      <c r="AQ19" s="132"/>
      <c r="AR19" s="134"/>
      <c r="AS19" s="131"/>
      <c r="AT19" s="131"/>
      <c r="AU19" s="131"/>
      <c r="AV19" s="132"/>
      <c r="AW19" s="134"/>
      <c r="AX19" s="131"/>
      <c r="AY19" s="131"/>
      <c r="AZ19" s="132"/>
      <c r="BA19" s="134"/>
      <c r="BB19" s="131"/>
      <c r="BC19" s="131"/>
      <c r="BD19" s="132"/>
      <c r="BE19" s="134"/>
      <c r="BF19" s="136"/>
      <c r="BG19" s="136"/>
      <c r="BH19" s="131"/>
      <c r="BI19" s="132"/>
      <c r="BJ19" s="133"/>
      <c r="BK19" s="135"/>
      <c r="BL19" s="131"/>
      <c r="BM19" s="136"/>
      <c r="BN19" s="134"/>
      <c r="BO19" s="131"/>
      <c r="BP19" s="131"/>
      <c r="BQ19" s="132"/>
      <c r="BR19" s="133"/>
      <c r="BS19" s="131"/>
      <c r="BT19" s="131"/>
      <c r="BU19" s="131"/>
      <c r="BV19" s="136"/>
      <c r="BW19" s="134"/>
      <c r="BX19" s="131"/>
      <c r="BY19" s="131"/>
      <c r="BZ19" s="132"/>
      <c r="CA19" s="133"/>
      <c r="CB19" s="131"/>
      <c r="CC19" s="131"/>
      <c r="CD19" s="132"/>
      <c r="CE19" s="137"/>
      <c r="CF19" s="133"/>
      <c r="CG19" s="138"/>
      <c r="CH19" s="138"/>
      <c r="CI19" s="139"/>
      <c r="CJ19" s="134"/>
      <c r="CK19" s="138"/>
      <c r="CL19" s="138"/>
      <c r="CM19" s="140"/>
      <c r="CR19" s="124"/>
      <c r="CV19" s="125"/>
      <c r="CW19" s="124"/>
      <c r="CZ19" s="126"/>
      <c r="DA19" s="124"/>
      <c r="DC19" s="193"/>
      <c r="DE19" s="124"/>
      <c r="DJ19" s="124"/>
      <c r="DK19" s="125"/>
      <c r="DM19" s="126"/>
      <c r="DN19" s="124"/>
      <c r="DS19" s="124"/>
      <c r="EA19" s="124"/>
      <c r="EE19" s="125"/>
      <c r="EF19" s="124"/>
      <c r="EJ19" s="124"/>
      <c r="EN19" s="124"/>
      <c r="ER19" s="126"/>
      <c r="EV19" s="125"/>
      <c r="EW19" s="124"/>
      <c r="EZ19" s="126"/>
      <c r="FF19" s="124"/>
      <c r="FI19" s="126"/>
      <c r="FK19" s="125"/>
      <c r="FN19" s="124"/>
      <c r="FR19" s="126"/>
      <c r="FW19" s="124"/>
      <c r="FZ19" s="126"/>
      <c r="GA19" s="124"/>
      <c r="GE19" s="141"/>
      <c r="GJ19" s="124"/>
      <c r="GM19" s="126"/>
      <c r="GS19" s="124"/>
      <c r="GV19" s="126"/>
      <c r="HA19" s="124"/>
      <c r="HE19" s="126"/>
      <c r="HJ19" s="124"/>
      <c r="HM19" s="126"/>
      <c r="HS19" s="124"/>
      <c r="HV19" s="126"/>
      <c r="IA19" s="124"/>
      <c r="IE19" s="125"/>
      <c r="IF19" s="124"/>
      <c r="II19" s="126"/>
      <c r="IN19" s="124"/>
      <c r="IR19" s="126"/>
      <c r="IW19" s="124"/>
      <c r="IZ19" s="126"/>
      <c r="JF19" s="124"/>
      <c r="JI19" s="126"/>
      <c r="JN19" s="124"/>
      <c r="JR19" s="126"/>
      <c r="JW19" s="124"/>
      <c r="JZ19" s="126"/>
      <c r="KD19" s="141"/>
      <c r="KE19" s="124"/>
      <c r="KH19" s="126"/>
    </row>
    <row r="20" spans="1:294" ht="21" customHeight="1">
      <c r="B20" s="127"/>
      <c r="C20" s="192"/>
      <c r="D20" s="220"/>
      <c r="E20" s="221"/>
      <c r="F20" s="222"/>
      <c r="G20" s="222"/>
      <c r="H20" s="222"/>
      <c r="I20" s="223"/>
      <c r="J20" s="224"/>
      <c r="K20" s="222"/>
      <c r="L20" s="222"/>
      <c r="M20" s="223"/>
      <c r="N20" s="225"/>
      <c r="O20" s="222"/>
      <c r="P20" s="222"/>
      <c r="Q20" s="223"/>
      <c r="R20" s="225"/>
      <c r="S20" s="222"/>
      <c r="T20" s="222"/>
      <c r="U20" s="223"/>
      <c r="V20" s="221"/>
      <c r="W20" s="222"/>
      <c r="X20" s="222"/>
      <c r="Y20" s="222"/>
      <c r="Z20" s="223"/>
      <c r="AA20" s="225"/>
      <c r="AB20" s="222"/>
      <c r="AC20" s="222"/>
      <c r="AD20" s="223"/>
      <c r="AE20" s="225"/>
      <c r="AF20" s="222"/>
      <c r="AG20" s="222"/>
      <c r="AH20" s="223"/>
      <c r="AI20" s="225"/>
      <c r="AJ20" s="222"/>
      <c r="AK20" s="226"/>
      <c r="AL20" s="222"/>
      <c r="AM20" s="223"/>
      <c r="AN20" s="225"/>
      <c r="AO20" s="222"/>
      <c r="AP20" s="222"/>
      <c r="AQ20" s="223"/>
      <c r="AR20" s="225"/>
      <c r="AS20" s="222"/>
      <c r="AT20" s="222"/>
      <c r="AU20" s="222"/>
      <c r="AV20" s="223"/>
      <c r="AW20" s="225"/>
      <c r="AX20" s="222"/>
      <c r="AY20" s="222"/>
      <c r="AZ20" s="223"/>
      <c r="BA20" s="225"/>
      <c r="BB20" s="222"/>
      <c r="BC20" s="222"/>
      <c r="BD20" s="223"/>
      <c r="BE20" s="225"/>
      <c r="BF20" s="227"/>
      <c r="BG20" s="227"/>
      <c r="BH20" s="222"/>
      <c r="BI20" s="223"/>
      <c r="BJ20" s="224"/>
      <c r="BK20" s="226"/>
      <c r="BL20" s="222"/>
      <c r="BM20" s="227"/>
      <c r="BN20" s="225"/>
      <c r="BO20" s="222"/>
      <c r="BP20" s="222"/>
      <c r="BQ20" s="223"/>
      <c r="BR20" s="224"/>
      <c r="BS20" s="222"/>
      <c r="BT20" s="222"/>
      <c r="BU20" s="222"/>
      <c r="BV20" s="227"/>
      <c r="BW20" s="225"/>
      <c r="BX20" s="222"/>
      <c r="BY20" s="222"/>
      <c r="BZ20" s="223"/>
      <c r="CA20" s="224"/>
      <c r="CB20" s="222"/>
      <c r="CC20" s="222"/>
      <c r="CD20" s="223"/>
      <c r="CE20" s="228"/>
      <c r="CF20" s="224"/>
      <c r="CG20" s="229"/>
      <c r="CH20" s="229"/>
      <c r="CI20" s="230"/>
      <c r="CJ20" s="225"/>
      <c r="CK20" s="229"/>
      <c r="CL20" s="229"/>
      <c r="CM20" s="231"/>
      <c r="CN20" s="216"/>
      <c r="CO20" s="216"/>
      <c r="CP20" s="216"/>
      <c r="CQ20" s="216"/>
      <c r="CR20" s="217"/>
      <c r="CS20" s="216"/>
      <c r="CT20" s="216"/>
      <c r="CU20" s="216"/>
      <c r="CV20" s="232"/>
      <c r="CW20" s="217"/>
      <c r="CX20" s="216"/>
      <c r="CY20" s="216"/>
      <c r="CZ20" s="218"/>
      <c r="DA20" s="217"/>
      <c r="DB20" s="216"/>
      <c r="DC20" s="233"/>
      <c r="DD20" s="216"/>
      <c r="DE20" s="217"/>
      <c r="DF20" s="216"/>
      <c r="DG20" s="216"/>
      <c r="DH20" s="216"/>
      <c r="DI20" s="216"/>
      <c r="DJ20" s="217"/>
      <c r="DK20" s="232"/>
      <c r="DL20" s="216"/>
      <c r="DM20" s="218"/>
      <c r="DN20" s="217"/>
      <c r="DO20" s="216"/>
      <c r="DP20" s="216"/>
      <c r="DQ20" s="216"/>
      <c r="DR20" s="216"/>
      <c r="DS20" s="217"/>
      <c r="DT20" s="216"/>
      <c r="DU20" s="216"/>
      <c r="DV20" s="216"/>
      <c r="DW20" s="216"/>
      <c r="DX20" s="216"/>
      <c r="DY20" s="216"/>
      <c r="DZ20" s="216"/>
      <c r="EA20" s="217"/>
      <c r="EB20" s="216"/>
      <c r="EC20" s="216"/>
      <c r="ED20" s="216"/>
      <c r="EE20" s="232"/>
      <c r="EF20" s="217"/>
      <c r="EG20" s="216"/>
      <c r="EH20" s="216"/>
      <c r="EI20" s="216"/>
      <c r="EJ20" s="217"/>
      <c r="EK20" s="216"/>
      <c r="EL20" s="216"/>
      <c r="EM20" s="216"/>
      <c r="EN20" s="217"/>
      <c r="EO20" s="216"/>
      <c r="EP20" s="216"/>
      <c r="EQ20" s="216"/>
      <c r="ER20" s="218"/>
      <c r="ES20" s="216"/>
      <c r="ET20" s="216"/>
      <c r="EU20" s="216"/>
      <c r="EV20" s="232"/>
      <c r="EW20" s="217"/>
      <c r="EX20" s="216"/>
      <c r="EY20" s="216"/>
      <c r="EZ20" s="218"/>
      <c r="FA20" s="216"/>
      <c r="FB20" s="216"/>
      <c r="FC20" s="216"/>
      <c r="FD20" s="216"/>
      <c r="FE20" s="216"/>
      <c r="FF20" s="217"/>
      <c r="FG20" s="216"/>
      <c r="FH20" s="216"/>
      <c r="FI20" s="218"/>
      <c r="FJ20" s="216"/>
      <c r="FK20" s="232"/>
      <c r="FL20" s="216"/>
      <c r="FM20" s="216"/>
      <c r="FN20" s="217"/>
      <c r="FO20" s="216"/>
      <c r="FP20" s="216"/>
      <c r="FQ20" s="216"/>
      <c r="FR20" s="218"/>
      <c r="FS20" s="216"/>
      <c r="FT20" s="216"/>
      <c r="FU20" s="216"/>
      <c r="FV20" s="216"/>
      <c r="FW20" s="217"/>
      <c r="FX20" s="216"/>
      <c r="FY20" s="216"/>
      <c r="FZ20" s="218"/>
      <c r="GA20" s="124"/>
      <c r="GE20" s="141"/>
      <c r="GJ20" s="124"/>
      <c r="GM20" s="126"/>
      <c r="GS20" s="124"/>
      <c r="GV20" s="126"/>
      <c r="HA20" s="124"/>
      <c r="HE20" s="126"/>
      <c r="HJ20" s="124"/>
      <c r="HM20" s="126"/>
      <c r="HS20" s="124"/>
      <c r="HV20" s="126"/>
      <c r="IA20" s="124"/>
      <c r="IE20" s="125"/>
      <c r="IF20" s="124"/>
      <c r="II20" s="126"/>
      <c r="IN20" s="124"/>
      <c r="IR20" s="126"/>
      <c r="IW20" s="124"/>
      <c r="IZ20" s="126"/>
      <c r="JF20" s="124"/>
      <c r="JI20" s="126"/>
      <c r="JN20" s="124"/>
      <c r="JR20" s="126"/>
      <c r="JW20" s="124"/>
      <c r="JZ20" s="126"/>
      <c r="KD20" s="141"/>
      <c r="KE20" s="124"/>
      <c r="KH20" s="126"/>
    </row>
    <row r="21" spans="1:294" ht="21" customHeight="1">
      <c r="B21" s="127"/>
      <c r="C21" s="192"/>
      <c r="D21" s="129"/>
      <c r="E21" s="130"/>
      <c r="F21" s="131"/>
      <c r="G21" s="131"/>
      <c r="H21" s="131"/>
      <c r="I21" s="132"/>
      <c r="J21" s="133"/>
      <c r="K21" s="131"/>
      <c r="L21" s="131"/>
      <c r="M21" s="132"/>
      <c r="N21" s="134"/>
      <c r="O21" s="131"/>
      <c r="P21" s="131"/>
      <c r="Q21" s="132"/>
      <c r="R21" s="134"/>
      <c r="S21" s="131"/>
      <c r="T21" s="131"/>
      <c r="U21" s="132"/>
      <c r="V21" s="130"/>
      <c r="W21" s="131"/>
      <c r="X21" s="131"/>
      <c r="Y21" s="131"/>
      <c r="Z21" s="132"/>
      <c r="AA21" s="134"/>
      <c r="AB21" s="131"/>
      <c r="AC21" s="131"/>
      <c r="AD21" s="132"/>
      <c r="AE21" s="134"/>
      <c r="AF21" s="131"/>
      <c r="AG21" s="131"/>
      <c r="AH21" s="132"/>
      <c r="AI21" s="134"/>
      <c r="AJ21" s="131"/>
      <c r="AK21" s="135"/>
      <c r="AL21" s="131"/>
      <c r="AM21" s="132"/>
      <c r="AN21" s="134"/>
      <c r="AO21" s="131"/>
      <c r="AP21" s="131"/>
      <c r="AQ21" s="132"/>
      <c r="AR21" s="134"/>
      <c r="AS21" s="131"/>
      <c r="AT21" s="131"/>
      <c r="AU21" s="131"/>
      <c r="AV21" s="132"/>
      <c r="AW21" s="134"/>
      <c r="AX21" s="131"/>
      <c r="AY21" s="131"/>
      <c r="AZ21" s="132"/>
      <c r="BA21" s="134"/>
      <c r="BB21" s="131"/>
      <c r="BC21" s="131"/>
      <c r="BD21" s="132"/>
      <c r="BE21" s="134"/>
      <c r="BF21" s="136"/>
      <c r="BG21" s="136"/>
      <c r="BH21" s="131"/>
      <c r="BI21" s="132"/>
      <c r="BJ21" s="133"/>
      <c r="BK21" s="135"/>
      <c r="BL21" s="131"/>
      <c r="BM21" s="136"/>
      <c r="BN21" s="134"/>
      <c r="BO21" s="131"/>
      <c r="BP21" s="131"/>
      <c r="BQ21" s="132"/>
      <c r="BR21" s="133"/>
      <c r="BS21" s="131"/>
      <c r="BT21" s="131"/>
      <c r="BU21" s="131"/>
      <c r="BV21" s="136"/>
      <c r="BW21" s="134"/>
      <c r="BX21" s="131"/>
      <c r="BY21" s="131"/>
      <c r="BZ21" s="132"/>
      <c r="CA21" s="133"/>
      <c r="CB21" s="131"/>
      <c r="CC21" s="131"/>
      <c r="CD21" s="132"/>
      <c r="CE21" s="137"/>
      <c r="CF21" s="133"/>
      <c r="CG21" s="138"/>
      <c r="CH21" s="138"/>
      <c r="CI21" s="139"/>
      <c r="CJ21" s="134"/>
      <c r="CK21" s="138"/>
      <c r="CL21" s="138"/>
      <c r="CM21" s="140"/>
      <c r="CR21" s="124"/>
      <c r="CV21" s="125"/>
      <c r="CW21" s="124"/>
      <c r="CZ21" s="126"/>
      <c r="DA21" s="124"/>
      <c r="DC21" s="193"/>
      <c r="DE21" s="124"/>
      <c r="DJ21" s="124"/>
      <c r="DK21" s="125"/>
      <c r="DM21" s="126"/>
      <c r="DN21" s="124"/>
      <c r="DS21" s="124"/>
      <c r="EA21" s="124"/>
      <c r="EE21" s="125"/>
      <c r="EF21" s="124"/>
      <c r="EJ21" s="124"/>
      <c r="EN21" s="124"/>
      <c r="ER21" s="126"/>
      <c r="EV21" s="125"/>
      <c r="EW21" s="124"/>
      <c r="EZ21" s="126"/>
      <c r="FF21" s="124"/>
      <c r="FI21" s="126"/>
      <c r="FK21" s="125"/>
      <c r="FN21" s="124"/>
      <c r="FR21" s="126"/>
      <c r="FW21" s="124"/>
      <c r="FZ21" s="126"/>
      <c r="GA21" s="124"/>
      <c r="GE21" s="141"/>
      <c r="GJ21" s="124"/>
      <c r="GM21" s="126"/>
      <c r="GS21" s="124"/>
      <c r="GV21" s="126"/>
      <c r="HA21" s="124"/>
      <c r="HE21" s="126"/>
      <c r="HJ21" s="124"/>
      <c r="HM21" s="126"/>
      <c r="HS21" s="124"/>
      <c r="HV21" s="126"/>
      <c r="IA21" s="124"/>
      <c r="IE21" s="125"/>
      <c r="IF21" s="124"/>
      <c r="II21" s="126"/>
      <c r="IN21" s="124"/>
      <c r="IR21" s="126"/>
      <c r="IW21" s="124"/>
      <c r="IZ21" s="126"/>
      <c r="JF21" s="124"/>
      <c r="JI21" s="126"/>
      <c r="JN21" s="124"/>
      <c r="JR21" s="126"/>
      <c r="JW21" s="124"/>
      <c r="JZ21" s="126"/>
      <c r="KD21" s="141"/>
      <c r="KE21" s="124"/>
      <c r="KH21" s="126"/>
    </row>
    <row r="22" spans="1:294" ht="21" customHeight="1">
      <c r="B22" s="127"/>
      <c r="C22" s="192"/>
      <c r="D22" s="129"/>
      <c r="E22" s="130"/>
      <c r="F22" s="131"/>
      <c r="G22" s="131"/>
      <c r="H22" s="131"/>
      <c r="I22" s="132"/>
      <c r="J22" s="133"/>
      <c r="K22" s="131"/>
      <c r="L22" s="131"/>
      <c r="M22" s="132"/>
      <c r="N22" s="134"/>
      <c r="O22" s="131"/>
      <c r="P22" s="131"/>
      <c r="Q22" s="132"/>
      <c r="R22" s="134"/>
      <c r="S22" s="131"/>
      <c r="T22" s="131"/>
      <c r="U22" s="132"/>
      <c r="V22" s="130"/>
      <c r="W22" s="131"/>
      <c r="X22" s="131"/>
      <c r="Y22" s="131"/>
      <c r="Z22" s="132"/>
      <c r="AA22" s="134"/>
      <c r="AB22" s="131"/>
      <c r="AC22" s="131"/>
      <c r="AD22" s="132"/>
      <c r="AE22" s="134"/>
      <c r="AF22" s="131"/>
      <c r="AG22" s="131"/>
      <c r="AH22" s="132"/>
      <c r="AI22" s="134"/>
      <c r="AJ22" s="131"/>
      <c r="AK22" s="135"/>
      <c r="AL22" s="131"/>
      <c r="AM22" s="132"/>
      <c r="AN22" s="134"/>
      <c r="AO22" s="131"/>
      <c r="AP22" s="131"/>
      <c r="AQ22" s="132"/>
      <c r="AR22" s="134"/>
      <c r="AS22" s="131"/>
      <c r="AT22" s="131"/>
      <c r="AU22" s="131"/>
      <c r="AV22" s="132"/>
      <c r="AW22" s="134"/>
      <c r="AX22" s="131"/>
      <c r="AY22" s="131"/>
      <c r="AZ22" s="132"/>
      <c r="BA22" s="134"/>
      <c r="BB22" s="131"/>
      <c r="BC22" s="131"/>
      <c r="BD22" s="132"/>
      <c r="BE22" s="134"/>
      <c r="BF22" s="136"/>
      <c r="BG22" s="136"/>
      <c r="BH22" s="131"/>
      <c r="BI22" s="132"/>
      <c r="BJ22" s="133"/>
      <c r="BK22" s="135"/>
      <c r="BL22" s="131"/>
      <c r="BM22" s="136"/>
      <c r="BN22" s="134"/>
      <c r="BO22" s="131"/>
      <c r="BP22" s="131"/>
      <c r="BQ22" s="132"/>
      <c r="BR22" s="133"/>
      <c r="BS22" s="131"/>
      <c r="BT22" s="131"/>
      <c r="BU22" s="131"/>
      <c r="BV22" s="136"/>
      <c r="BW22" s="134"/>
      <c r="BX22" s="131"/>
      <c r="BY22" s="131"/>
      <c r="BZ22" s="132"/>
      <c r="CA22" s="133"/>
      <c r="CB22" s="131"/>
      <c r="CC22" s="131"/>
      <c r="CD22" s="132"/>
      <c r="CE22" s="137"/>
      <c r="CF22" s="133"/>
      <c r="CG22" s="138"/>
      <c r="CH22" s="138"/>
      <c r="CI22" s="139"/>
      <c r="CJ22" s="134"/>
      <c r="CK22" s="138"/>
      <c r="CL22" s="138"/>
      <c r="CM22" s="140"/>
      <c r="CR22" s="124"/>
      <c r="CV22" s="125"/>
      <c r="CW22" s="124"/>
      <c r="CZ22" s="126"/>
      <c r="DA22" s="124"/>
      <c r="DC22" s="193"/>
      <c r="DE22" s="124"/>
      <c r="DJ22" s="124"/>
      <c r="DK22" s="125"/>
      <c r="DM22" s="126"/>
      <c r="DN22" s="124"/>
      <c r="DS22" s="124"/>
      <c r="EA22" s="124"/>
      <c r="EE22" s="125"/>
      <c r="EF22" s="124"/>
      <c r="EJ22" s="124"/>
      <c r="EN22" s="124"/>
      <c r="ER22" s="126"/>
      <c r="EV22" s="125"/>
      <c r="EW22" s="124"/>
      <c r="EZ22" s="126"/>
      <c r="FF22" s="124"/>
      <c r="FI22" s="126"/>
      <c r="FK22" s="125"/>
      <c r="FN22" s="124"/>
      <c r="FR22" s="126"/>
      <c r="FW22" s="124"/>
      <c r="FZ22" s="126"/>
      <c r="GA22" s="124"/>
      <c r="GE22" s="141"/>
      <c r="GJ22" s="124"/>
      <c r="GM22" s="126"/>
      <c r="GS22" s="124"/>
      <c r="GV22" s="126"/>
      <c r="HA22" s="124"/>
      <c r="HE22" s="126"/>
      <c r="HJ22" s="124"/>
      <c r="HM22" s="126"/>
      <c r="HS22" s="124"/>
      <c r="HV22" s="126"/>
      <c r="IA22" s="124"/>
      <c r="IE22" s="125"/>
      <c r="IF22" s="124"/>
      <c r="II22" s="126"/>
      <c r="IN22" s="124"/>
      <c r="IR22" s="126"/>
      <c r="IW22" s="124"/>
      <c r="IZ22" s="126"/>
      <c r="JF22" s="124"/>
      <c r="JI22" s="126"/>
      <c r="JN22" s="124"/>
      <c r="JR22" s="126"/>
      <c r="JW22" s="124"/>
      <c r="JZ22" s="126"/>
      <c r="KD22" s="141"/>
      <c r="KE22" s="124"/>
      <c r="KH22" s="126"/>
    </row>
    <row r="23" spans="1:294" ht="21" customHeight="1" thickBot="1">
      <c r="B23" s="127"/>
      <c r="C23" s="214"/>
      <c r="D23" s="158"/>
      <c r="E23" s="159"/>
      <c r="F23" s="160"/>
      <c r="G23" s="160"/>
      <c r="H23" s="160"/>
      <c r="I23" s="161"/>
      <c r="J23" s="162"/>
      <c r="K23" s="160"/>
      <c r="L23" s="160"/>
      <c r="M23" s="161"/>
      <c r="N23" s="163"/>
      <c r="O23" s="160"/>
      <c r="P23" s="160"/>
      <c r="Q23" s="161"/>
      <c r="R23" s="163"/>
      <c r="S23" s="160"/>
      <c r="T23" s="160"/>
      <c r="U23" s="161"/>
      <c r="V23" s="159"/>
      <c r="W23" s="160"/>
      <c r="X23" s="160"/>
      <c r="Y23" s="160"/>
      <c r="Z23" s="161"/>
      <c r="AA23" s="163"/>
      <c r="AB23" s="160"/>
      <c r="AC23" s="160"/>
      <c r="AD23" s="161"/>
      <c r="AE23" s="163"/>
      <c r="AF23" s="160"/>
      <c r="AG23" s="160"/>
      <c r="AH23" s="161"/>
      <c r="AI23" s="163"/>
      <c r="AJ23" s="160"/>
      <c r="AK23" s="164"/>
      <c r="AL23" s="160"/>
      <c r="AM23" s="161"/>
      <c r="AN23" s="163"/>
      <c r="AO23" s="160"/>
      <c r="AP23" s="160"/>
      <c r="AQ23" s="161"/>
      <c r="AR23" s="163"/>
      <c r="AS23" s="160"/>
      <c r="AT23" s="160"/>
      <c r="AU23" s="160"/>
      <c r="AV23" s="161"/>
      <c r="AW23" s="163"/>
      <c r="AX23" s="160"/>
      <c r="AY23" s="160"/>
      <c r="AZ23" s="161"/>
      <c r="BA23" s="163"/>
      <c r="BB23" s="160"/>
      <c r="BC23" s="160"/>
      <c r="BD23" s="161"/>
      <c r="BE23" s="163"/>
      <c r="BF23" s="165"/>
      <c r="BG23" s="165"/>
      <c r="BH23" s="160"/>
      <c r="BI23" s="161"/>
      <c r="BJ23" s="162"/>
      <c r="BK23" s="164"/>
      <c r="BL23" s="160"/>
      <c r="BM23" s="165"/>
      <c r="BN23" s="163"/>
      <c r="BO23" s="160"/>
      <c r="BP23" s="160"/>
      <c r="BQ23" s="161"/>
      <c r="BR23" s="162"/>
      <c r="BS23" s="160"/>
      <c r="BT23" s="160"/>
      <c r="BU23" s="160"/>
      <c r="BV23" s="165"/>
      <c r="BW23" s="163"/>
      <c r="BX23" s="160"/>
      <c r="BY23" s="160"/>
      <c r="BZ23" s="161"/>
      <c r="CA23" s="162"/>
      <c r="CB23" s="160"/>
      <c r="CC23" s="160"/>
      <c r="CD23" s="161"/>
      <c r="CE23" s="166"/>
      <c r="CF23" s="162"/>
      <c r="CG23" s="167"/>
      <c r="CH23" s="167"/>
      <c r="CI23" s="168"/>
      <c r="CJ23" s="163"/>
      <c r="CK23" s="167"/>
      <c r="CL23" s="167"/>
      <c r="CM23" s="169"/>
      <c r="CN23" s="145"/>
      <c r="CO23" s="145"/>
      <c r="CP23" s="145"/>
      <c r="CQ23" s="145"/>
      <c r="CR23" s="146"/>
      <c r="CS23" s="145"/>
      <c r="CT23" s="145"/>
      <c r="CU23" s="145"/>
      <c r="CV23" s="147"/>
      <c r="CW23" s="146"/>
      <c r="CX23" s="145"/>
      <c r="CY23" s="145"/>
      <c r="CZ23" s="148"/>
      <c r="DA23" s="146"/>
      <c r="DB23" s="145"/>
      <c r="DC23" s="176"/>
      <c r="DD23" s="145"/>
      <c r="DE23" s="146"/>
      <c r="DF23" s="145"/>
      <c r="DG23" s="145"/>
      <c r="DH23" s="145"/>
      <c r="DI23" s="145"/>
      <c r="DJ23" s="146"/>
      <c r="DK23" s="147"/>
      <c r="DL23" s="145"/>
      <c r="DM23" s="148"/>
      <c r="DN23" s="146"/>
      <c r="DO23" s="145"/>
      <c r="DP23" s="145"/>
      <c r="DQ23" s="145"/>
      <c r="DR23" s="145"/>
      <c r="DS23" s="146"/>
      <c r="DT23" s="145"/>
      <c r="DU23" s="145"/>
      <c r="DV23" s="145"/>
      <c r="DW23" s="145"/>
      <c r="DX23" s="145"/>
      <c r="DY23" s="145"/>
      <c r="DZ23" s="145"/>
      <c r="EA23" s="146"/>
      <c r="EB23" s="145"/>
      <c r="EC23" s="145"/>
      <c r="ED23" s="145"/>
      <c r="EE23" s="147"/>
      <c r="EF23" s="146"/>
      <c r="EG23" s="145"/>
      <c r="EH23" s="145"/>
      <c r="EI23" s="145"/>
      <c r="EJ23" s="146"/>
      <c r="EK23" s="145"/>
      <c r="EL23" s="145"/>
      <c r="EM23" s="145"/>
      <c r="EN23" s="146"/>
      <c r="EO23" s="145"/>
      <c r="EP23" s="145"/>
      <c r="EQ23" s="145"/>
      <c r="ER23" s="148"/>
      <c r="ES23" s="145"/>
      <c r="ET23" s="145"/>
      <c r="EU23" s="145"/>
      <c r="EV23" s="147"/>
      <c r="EW23" s="146"/>
      <c r="EX23" s="145"/>
      <c r="EY23" s="145"/>
      <c r="EZ23" s="148"/>
      <c r="FA23" s="145"/>
      <c r="FB23" s="145"/>
      <c r="FC23" s="145"/>
      <c r="FD23" s="145"/>
      <c r="FE23" s="145"/>
      <c r="FF23" s="146"/>
      <c r="FG23" s="145"/>
      <c r="FH23" s="145"/>
      <c r="FI23" s="148"/>
      <c r="FJ23" s="145"/>
      <c r="FK23" s="147"/>
      <c r="FL23" s="145"/>
      <c r="FM23" s="145"/>
      <c r="FN23" s="146"/>
      <c r="FO23" s="145"/>
      <c r="FP23" s="145"/>
      <c r="FQ23" s="145"/>
      <c r="FR23" s="148"/>
      <c r="FS23" s="145"/>
      <c r="FT23" s="145"/>
      <c r="FU23" s="145"/>
      <c r="FV23" s="145"/>
      <c r="FW23" s="146"/>
      <c r="FX23" s="145"/>
      <c r="FY23" s="145" t="s">
        <v>390</v>
      </c>
      <c r="FZ23" s="148"/>
      <c r="GA23" s="146"/>
      <c r="GB23" s="145"/>
      <c r="GC23" s="145"/>
      <c r="GD23" s="145"/>
      <c r="GE23" s="149"/>
      <c r="GF23" s="145"/>
      <c r="GG23" s="145"/>
      <c r="GH23" s="145"/>
      <c r="GI23" s="145"/>
      <c r="GJ23" s="146"/>
      <c r="GK23" s="145"/>
      <c r="GL23" s="145"/>
      <c r="GM23" s="148"/>
      <c r="GN23" s="146"/>
      <c r="GO23" s="145"/>
      <c r="GP23" s="145"/>
      <c r="GQ23" s="145"/>
      <c r="GR23" s="145"/>
      <c r="GS23" s="146"/>
      <c r="GT23" s="145"/>
      <c r="GU23" s="145"/>
      <c r="GV23" s="148"/>
      <c r="GW23" s="145"/>
      <c r="GX23" s="145"/>
      <c r="GY23" s="145"/>
      <c r="GZ23" s="145"/>
      <c r="HA23" s="146"/>
      <c r="HB23" s="145"/>
      <c r="HC23" s="145"/>
      <c r="HD23" s="145"/>
      <c r="HE23" s="148"/>
      <c r="HF23" s="145"/>
      <c r="HG23" s="145"/>
      <c r="HH23" s="145"/>
      <c r="HI23" s="145"/>
      <c r="HJ23" s="146"/>
      <c r="HK23" s="145"/>
      <c r="HL23" s="145"/>
      <c r="HM23" s="148"/>
      <c r="HN23" s="145"/>
      <c r="HO23" s="145"/>
      <c r="HP23" s="145"/>
      <c r="HQ23" s="145"/>
      <c r="HR23" s="145"/>
      <c r="HS23" s="146"/>
      <c r="HT23" s="145"/>
      <c r="HU23" s="145"/>
      <c r="HV23" s="148"/>
      <c r="HW23" s="145"/>
      <c r="HX23" s="145"/>
      <c r="HY23" s="145"/>
      <c r="HZ23" s="145"/>
      <c r="IA23" s="146"/>
      <c r="IB23" s="145"/>
      <c r="IC23" s="145"/>
      <c r="ID23" s="145"/>
      <c r="IE23" s="147"/>
      <c r="IF23" s="146"/>
      <c r="IG23" s="145"/>
      <c r="IH23" s="145"/>
      <c r="II23" s="148"/>
      <c r="IJ23" s="145"/>
      <c r="IK23" s="145"/>
      <c r="IL23" s="145"/>
      <c r="IM23" s="145"/>
      <c r="IN23" s="146"/>
      <c r="IO23" s="145"/>
      <c r="IP23" s="145"/>
      <c r="IQ23" s="145"/>
      <c r="IR23" s="148"/>
      <c r="IS23" s="145"/>
      <c r="IT23" s="145"/>
      <c r="IU23" s="145"/>
      <c r="IV23" s="145"/>
      <c r="IW23" s="146"/>
      <c r="IX23" s="145"/>
      <c r="IY23" s="145"/>
      <c r="IZ23" s="148"/>
      <c r="JA23" s="146"/>
      <c r="JB23" s="145"/>
      <c r="JC23" s="145"/>
      <c r="JD23" s="145"/>
      <c r="JE23" s="145"/>
      <c r="JF23" s="146"/>
      <c r="JG23" s="145"/>
      <c r="JH23" s="145"/>
      <c r="JI23" s="148"/>
      <c r="JJ23" s="145"/>
      <c r="JK23" s="145"/>
      <c r="JL23" s="145"/>
      <c r="JM23" s="145"/>
      <c r="JN23" s="146"/>
      <c r="JO23" s="145"/>
      <c r="JP23" s="145"/>
      <c r="JQ23" s="145"/>
      <c r="JR23" s="148"/>
      <c r="JS23" s="145"/>
      <c r="JT23" s="145"/>
      <c r="JU23" s="145"/>
      <c r="JV23" s="145"/>
      <c r="JW23" s="146"/>
      <c r="JX23" s="145"/>
      <c r="JY23" s="145"/>
      <c r="JZ23" s="148"/>
      <c r="KA23" s="145"/>
      <c r="KB23" s="145"/>
      <c r="KC23" s="145"/>
      <c r="KD23" s="149"/>
      <c r="KE23" s="146"/>
      <c r="KF23" s="145"/>
      <c r="KG23" s="145"/>
      <c r="KH23" s="148"/>
    </row>
    <row r="24" spans="1:294" ht="21" customHeight="1" thickTop="1">
      <c r="B24" s="127"/>
      <c r="C24" s="215"/>
      <c r="D24" s="129"/>
      <c r="E24" s="130"/>
      <c r="F24" s="131"/>
      <c r="G24" s="131"/>
      <c r="H24" s="131"/>
      <c r="I24" s="132"/>
      <c r="J24" s="133"/>
      <c r="K24" s="131"/>
      <c r="L24" s="131"/>
      <c r="M24" s="132"/>
      <c r="N24" s="134"/>
      <c r="O24" s="131"/>
      <c r="P24" s="131"/>
      <c r="Q24" s="132"/>
      <c r="R24" s="134"/>
      <c r="S24" s="131"/>
      <c r="T24" s="131"/>
      <c r="U24" s="132"/>
      <c r="V24" s="130"/>
      <c r="W24" s="131"/>
      <c r="X24" s="131"/>
      <c r="Y24" s="131"/>
      <c r="Z24" s="132"/>
      <c r="AA24" s="134"/>
      <c r="AB24" s="131"/>
      <c r="AC24" s="131"/>
      <c r="AD24" s="132"/>
      <c r="AE24" s="134"/>
      <c r="AF24" s="131"/>
      <c r="AG24" s="131"/>
      <c r="AH24" s="132"/>
      <c r="AI24" s="134"/>
      <c r="AJ24" s="131"/>
      <c r="AK24" s="135"/>
      <c r="AL24" s="131"/>
      <c r="AM24" s="132"/>
      <c r="AN24" s="134"/>
      <c r="AO24" s="131"/>
      <c r="AP24" s="131"/>
      <c r="AQ24" s="132"/>
      <c r="AR24" s="134"/>
      <c r="AS24" s="131"/>
      <c r="AT24" s="131"/>
      <c r="AU24" s="131"/>
      <c r="AV24" s="132"/>
      <c r="AW24" s="134"/>
      <c r="AX24" s="131"/>
      <c r="AY24" s="131"/>
      <c r="AZ24" s="132"/>
      <c r="BA24" s="134"/>
      <c r="BB24" s="131"/>
      <c r="BC24" s="131"/>
      <c r="BD24" s="132"/>
      <c r="BE24" s="134"/>
      <c r="BF24" s="136"/>
      <c r="BG24" s="136"/>
      <c r="BH24" s="131"/>
      <c r="BI24" s="132"/>
      <c r="BJ24" s="133"/>
      <c r="BK24" s="135"/>
      <c r="BL24" s="131"/>
      <c r="BM24" s="136"/>
      <c r="BN24" s="134"/>
      <c r="BO24" s="131"/>
      <c r="BP24" s="131"/>
      <c r="BQ24" s="132"/>
      <c r="BR24" s="133"/>
      <c r="BS24" s="131"/>
      <c r="BT24" s="131"/>
      <c r="BU24" s="131"/>
      <c r="BV24" s="136"/>
      <c r="BW24" s="134"/>
      <c r="BX24" s="131"/>
      <c r="BY24" s="131"/>
      <c r="BZ24" s="132"/>
      <c r="CA24" s="133"/>
      <c r="CB24" s="131"/>
      <c r="CC24" s="131"/>
      <c r="CD24" s="132"/>
      <c r="CE24" s="137"/>
      <c r="CF24" s="133"/>
      <c r="CG24" s="138"/>
      <c r="CH24" s="138"/>
      <c r="CI24" s="139"/>
      <c r="CJ24" s="134"/>
      <c r="CK24" s="138"/>
      <c r="CL24" s="138"/>
      <c r="CM24" s="140"/>
      <c r="CR24" s="124"/>
      <c r="CV24" s="125"/>
      <c r="CW24" s="124"/>
      <c r="CZ24" s="126"/>
      <c r="DA24" s="124"/>
      <c r="DC24" s="193"/>
      <c r="DE24" s="124"/>
      <c r="DJ24" s="124"/>
      <c r="DK24" s="125"/>
      <c r="DM24" s="126"/>
      <c r="DN24" s="124"/>
      <c r="DS24" s="124"/>
      <c r="EA24" s="124"/>
      <c r="EE24" s="125"/>
      <c r="EF24" s="124"/>
      <c r="EJ24" s="124"/>
      <c r="EN24" s="124"/>
      <c r="ER24" s="126"/>
      <c r="EV24" s="125"/>
      <c r="EW24" s="124"/>
      <c r="EZ24" s="126"/>
      <c r="FF24" s="124"/>
      <c r="FI24" s="126"/>
      <c r="FK24" s="125"/>
      <c r="FN24" s="124"/>
      <c r="FR24" s="126"/>
      <c r="FW24" s="124"/>
      <c r="FZ24" s="126"/>
      <c r="GA24" s="124"/>
      <c r="GE24" s="141"/>
      <c r="GJ24" s="124"/>
      <c r="GM24" s="126"/>
      <c r="GS24" s="124"/>
      <c r="GV24" s="126"/>
      <c r="HA24" s="124"/>
      <c r="HE24" s="126"/>
      <c r="HJ24" s="124"/>
      <c r="HM24" s="126"/>
      <c r="HS24" s="124"/>
      <c r="HV24" s="126"/>
      <c r="IA24" s="124"/>
      <c r="IE24" s="125"/>
      <c r="IF24" s="124"/>
      <c r="II24" s="126"/>
      <c r="IN24" s="124"/>
      <c r="IR24" s="126"/>
      <c r="IW24" s="124"/>
      <c r="IZ24" s="126"/>
      <c r="JA24" s="150"/>
      <c r="JB24" s="151"/>
      <c r="JC24" s="151"/>
      <c r="JD24" s="151"/>
      <c r="JE24" s="151"/>
      <c r="JF24" s="150"/>
      <c r="JG24" s="151"/>
      <c r="JH24" s="151"/>
      <c r="JI24" s="154"/>
      <c r="JJ24" s="151"/>
      <c r="JK24" s="151"/>
      <c r="JL24" s="151"/>
      <c r="JM24" s="151"/>
      <c r="JN24" s="150"/>
      <c r="JO24" s="151"/>
      <c r="JP24" s="151"/>
      <c r="JQ24" s="151"/>
      <c r="JR24" s="154"/>
      <c r="JS24" s="151"/>
      <c r="JT24" s="151"/>
      <c r="JU24" s="151"/>
      <c r="JV24" s="151"/>
      <c r="JW24" s="150"/>
      <c r="JX24" s="151"/>
      <c r="JY24" s="151"/>
      <c r="JZ24" s="154"/>
      <c r="KA24" s="151"/>
      <c r="KB24" s="151"/>
      <c r="KC24" s="151"/>
      <c r="KD24" s="156"/>
      <c r="KE24" s="150"/>
      <c r="KF24" s="151"/>
      <c r="KG24" s="151"/>
      <c r="KH24" s="154"/>
    </row>
    <row r="25" spans="1:294" ht="21" customHeight="1">
      <c r="B25" s="127"/>
      <c r="C25" s="320" t="s">
        <v>174</v>
      </c>
      <c r="D25" s="129"/>
      <c r="E25" s="130"/>
      <c r="F25" s="131"/>
      <c r="G25" s="131"/>
      <c r="H25" s="131"/>
      <c r="I25" s="132"/>
      <c r="J25" s="133"/>
      <c r="K25" s="131"/>
      <c r="L25" s="131"/>
      <c r="M25" s="132"/>
      <c r="N25" s="134"/>
      <c r="O25" s="131"/>
      <c r="P25" s="131"/>
      <c r="Q25" s="132"/>
      <c r="R25" s="134"/>
      <c r="S25" s="131"/>
      <c r="T25" s="131"/>
      <c r="U25" s="132"/>
      <c r="V25" s="130"/>
      <c r="W25" s="131"/>
      <c r="X25" s="131"/>
      <c r="Y25" s="131"/>
      <c r="Z25" s="132"/>
      <c r="AA25" s="134"/>
      <c r="AB25" s="131"/>
      <c r="AC25" s="131"/>
      <c r="AD25" s="132"/>
      <c r="AE25" s="134"/>
      <c r="AF25" s="131"/>
      <c r="AG25" s="131"/>
      <c r="AH25" s="132"/>
      <c r="AI25" s="134"/>
      <c r="AJ25" s="131"/>
      <c r="AK25" s="135"/>
      <c r="AL25" s="131"/>
      <c r="AM25" s="132"/>
      <c r="AN25" s="134"/>
      <c r="AO25" s="131"/>
      <c r="AP25" s="131"/>
      <c r="AQ25" s="132"/>
      <c r="AR25" s="134"/>
      <c r="AS25" s="131"/>
      <c r="AT25" s="131"/>
      <c r="AU25" s="131"/>
      <c r="AV25" s="132"/>
      <c r="AW25" s="134"/>
      <c r="AX25" s="131"/>
      <c r="AY25" s="131"/>
      <c r="AZ25" s="132"/>
      <c r="BA25" s="134"/>
      <c r="BB25" s="131"/>
      <c r="BC25" s="131"/>
      <c r="BD25" s="132"/>
      <c r="BE25" s="134"/>
      <c r="BF25" s="136"/>
      <c r="BG25" s="136"/>
      <c r="BH25" s="131"/>
      <c r="BI25" s="132"/>
      <c r="BJ25" s="133"/>
      <c r="BK25" s="135"/>
      <c r="BL25" s="131"/>
      <c r="BM25" s="136"/>
      <c r="BN25" s="134"/>
      <c r="BO25" s="131"/>
      <c r="BP25" s="131"/>
      <c r="BQ25" s="132"/>
      <c r="BR25" s="133"/>
      <c r="BS25" s="131"/>
      <c r="BT25" s="131"/>
      <c r="BU25" s="131"/>
      <c r="BV25" s="136"/>
      <c r="BW25" s="134"/>
      <c r="BX25" s="131"/>
      <c r="BY25" s="131"/>
      <c r="BZ25" s="132"/>
      <c r="CA25" s="133"/>
      <c r="CB25" s="131"/>
      <c r="CC25" s="131"/>
      <c r="CD25" s="132"/>
      <c r="CE25" s="137"/>
      <c r="CF25" s="133"/>
      <c r="CG25" s="138"/>
      <c r="CH25" s="138"/>
      <c r="CI25" s="139"/>
      <c r="CJ25" s="134"/>
      <c r="CK25" s="138"/>
      <c r="CL25" s="138"/>
      <c r="CM25" s="140"/>
      <c r="CR25" s="124"/>
      <c r="CV25" s="125"/>
      <c r="CW25" s="124"/>
      <c r="CZ25" s="126"/>
      <c r="DA25" s="124"/>
      <c r="DC25" s="193"/>
      <c r="DE25" s="124"/>
      <c r="DJ25" s="124"/>
      <c r="DK25" s="125"/>
      <c r="DM25" s="126"/>
      <c r="DN25" s="124"/>
      <c r="DS25" s="124"/>
      <c r="EA25" s="124"/>
      <c r="EE25" s="125"/>
      <c r="EF25" s="124"/>
      <c r="EJ25" s="124"/>
      <c r="EN25" s="124"/>
      <c r="ER25" s="126"/>
      <c r="EV25" s="125"/>
      <c r="EW25" s="124"/>
      <c r="EZ25" s="126"/>
      <c r="FF25" s="124"/>
      <c r="FI25" s="126"/>
      <c r="FK25" s="125"/>
      <c r="FN25" s="124"/>
      <c r="FR25" s="126"/>
      <c r="FW25" s="124"/>
      <c r="FZ25" s="126"/>
      <c r="GA25" s="124"/>
      <c r="GE25" s="141"/>
      <c r="GJ25" s="124"/>
      <c r="GM25" s="126"/>
      <c r="GS25" s="124"/>
      <c r="GV25" s="126"/>
      <c r="HA25" s="124"/>
      <c r="HE25" s="126"/>
      <c r="HJ25" s="124"/>
      <c r="HM25" s="126"/>
      <c r="HS25" s="124"/>
      <c r="HV25" s="126"/>
      <c r="IA25" s="124"/>
      <c r="IE25" s="125"/>
      <c r="IF25" s="124"/>
      <c r="II25" s="126"/>
      <c r="IN25" s="124"/>
      <c r="IR25" s="126"/>
      <c r="IW25" s="124"/>
      <c r="IZ25" s="126"/>
      <c r="JF25" s="124"/>
      <c r="JI25" s="126"/>
      <c r="JN25" s="124"/>
      <c r="JR25" s="126"/>
      <c r="JW25" s="124"/>
      <c r="JZ25" s="126"/>
      <c r="KD25" s="141"/>
      <c r="KE25" s="124"/>
      <c r="KH25" s="126"/>
    </row>
    <row r="26" spans="1:294" ht="21" customHeight="1">
      <c r="B26" s="127"/>
      <c r="C26" s="215"/>
      <c r="D26" s="129"/>
      <c r="E26" s="130"/>
      <c r="F26" s="131"/>
      <c r="G26" s="131"/>
      <c r="H26" s="131"/>
      <c r="I26" s="132"/>
      <c r="J26" s="133"/>
      <c r="K26" s="131"/>
      <c r="L26" s="131"/>
      <c r="M26" s="132"/>
      <c r="N26" s="134"/>
      <c r="O26" s="131"/>
      <c r="P26" s="131"/>
      <c r="Q26" s="132"/>
      <c r="R26" s="134"/>
      <c r="S26" s="131"/>
      <c r="T26" s="131"/>
      <c r="U26" s="132"/>
      <c r="V26" s="130"/>
      <c r="W26" s="131"/>
      <c r="X26" s="131"/>
      <c r="Y26" s="131"/>
      <c r="Z26" s="132"/>
      <c r="AA26" s="134"/>
      <c r="AB26" s="131"/>
      <c r="AC26" s="131"/>
      <c r="AD26" s="132"/>
      <c r="AE26" s="134"/>
      <c r="AF26" s="131"/>
      <c r="AG26" s="131"/>
      <c r="AH26" s="132"/>
      <c r="AI26" s="134"/>
      <c r="AJ26" s="131"/>
      <c r="AK26" s="135"/>
      <c r="AL26" s="131"/>
      <c r="AM26" s="132"/>
      <c r="AN26" s="134"/>
      <c r="AO26" s="131"/>
      <c r="AP26" s="131"/>
      <c r="AQ26" s="132"/>
      <c r="AR26" s="134"/>
      <c r="AS26" s="131"/>
      <c r="AT26" s="131"/>
      <c r="AU26" s="131"/>
      <c r="AV26" s="132"/>
      <c r="AW26" s="134"/>
      <c r="AX26" s="131"/>
      <c r="AY26" s="131"/>
      <c r="AZ26" s="132"/>
      <c r="BA26" s="134"/>
      <c r="BB26" s="131"/>
      <c r="BC26" s="131"/>
      <c r="BD26" s="132"/>
      <c r="BE26" s="134"/>
      <c r="BF26" s="136"/>
      <c r="BG26" s="136"/>
      <c r="BH26" s="131"/>
      <c r="BI26" s="132"/>
      <c r="BJ26" s="133"/>
      <c r="BK26" s="135"/>
      <c r="BL26" s="131"/>
      <c r="BM26" s="136"/>
      <c r="BN26" s="134"/>
      <c r="BO26" s="131"/>
      <c r="BP26" s="131"/>
      <c r="BQ26" s="132"/>
      <c r="BR26" s="133"/>
      <c r="BS26" s="131"/>
      <c r="BT26" s="131"/>
      <c r="BU26" s="131"/>
      <c r="BV26" s="136"/>
      <c r="BW26" s="134"/>
      <c r="BX26" s="131"/>
      <c r="BY26" s="131"/>
      <c r="BZ26" s="132"/>
      <c r="CA26" s="133"/>
      <c r="CB26" s="131"/>
      <c r="CC26" s="131"/>
      <c r="CD26" s="132"/>
      <c r="CE26" s="137"/>
      <c r="CF26" s="133"/>
      <c r="CG26" s="138"/>
      <c r="CH26" s="138"/>
      <c r="CI26" s="139"/>
      <c r="CJ26" s="134"/>
      <c r="CK26" s="138"/>
      <c r="CL26" s="138"/>
      <c r="CM26" s="140"/>
      <c r="CR26" s="124"/>
      <c r="CV26" s="125"/>
      <c r="CW26" s="124"/>
      <c r="CZ26" s="126"/>
      <c r="DA26" s="124"/>
      <c r="DC26" s="193"/>
      <c r="DE26" s="124"/>
      <c r="DJ26" s="124"/>
      <c r="DK26" s="125"/>
      <c r="DM26" s="126"/>
      <c r="DN26" s="124"/>
      <c r="DS26" s="124"/>
      <c r="EA26" s="124"/>
      <c r="EE26" s="125"/>
      <c r="EF26" s="124"/>
      <c r="EJ26" s="124"/>
      <c r="EN26" s="124"/>
      <c r="ER26" s="126"/>
      <c r="EV26" s="125"/>
      <c r="EW26" s="124"/>
      <c r="EZ26" s="126"/>
      <c r="FF26" s="124"/>
      <c r="FI26" s="126"/>
      <c r="FK26" s="125"/>
      <c r="FN26" s="124"/>
      <c r="FR26" s="126"/>
      <c r="FW26" s="124"/>
      <c r="FZ26" s="126"/>
      <c r="GA26" s="124"/>
      <c r="GE26" s="141"/>
      <c r="GJ26" s="124"/>
      <c r="GM26" s="126"/>
      <c r="GS26" s="124"/>
      <c r="GV26" s="126"/>
      <c r="HA26" s="124"/>
      <c r="HE26" s="126"/>
      <c r="HJ26" s="124"/>
      <c r="HM26" s="126"/>
      <c r="HS26" s="124"/>
      <c r="HV26" s="126"/>
      <c r="IA26" s="124"/>
      <c r="IE26" s="125"/>
      <c r="IF26" s="124"/>
      <c r="II26" s="126"/>
      <c r="IN26" s="124"/>
      <c r="IR26" s="126"/>
      <c r="IW26" s="124"/>
      <c r="IZ26" s="126"/>
      <c r="JF26" s="124"/>
      <c r="JI26" s="126"/>
      <c r="JN26" s="124"/>
      <c r="JR26" s="126"/>
      <c r="JW26" s="124"/>
      <c r="JZ26" s="126"/>
      <c r="KD26" s="141"/>
      <c r="KE26" s="124"/>
      <c r="KH26" s="126"/>
    </row>
    <row r="27" spans="1:294" ht="21" customHeight="1">
      <c r="A27" s="198"/>
      <c r="B27" s="127"/>
      <c r="C27" s="192" t="s">
        <v>175</v>
      </c>
      <c r="D27" s="129"/>
      <c r="E27" s="130"/>
      <c r="F27" s="131"/>
      <c r="G27" s="131"/>
      <c r="H27" s="131"/>
      <c r="I27" s="132"/>
      <c r="J27" s="133"/>
      <c r="K27" s="131"/>
      <c r="L27" s="131"/>
      <c r="M27" s="132"/>
      <c r="N27" s="134"/>
      <c r="O27" s="131"/>
      <c r="P27" s="131"/>
      <c r="Q27" s="132"/>
      <c r="R27" s="134"/>
      <c r="S27" s="131"/>
      <c r="T27" s="131"/>
      <c r="U27" s="132"/>
      <c r="V27" s="130"/>
      <c r="W27" s="131"/>
      <c r="X27" s="131"/>
      <c r="Y27" s="131"/>
      <c r="Z27" s="132"/>
      <c r="AA27" s="134"/>
      <c r="AB27" s="131"/>
      <c r="AC27" s="131"/>
      <c r="AD27" s="132"/>
      <c r="AE27" s="134"/>
      <c r="AF27" s="131"/>
      <c r="AG27" s="131"/>
      <c r="AH27" s="132"/>
      <c r="AI27" s="134"/>
      <c r="AJ27" s="131"/>
      <c r="AK27" s="135"/>
      <c r="AL27" s="131"/>
      <c r="AM27" s="132"/>
      <c r="AN27" s="134"/>
      <c r="AO27" s="131"/>
      <c r="AP27" s="131"/>
      <c r="AQ27" s="132"/>
      <c r="AR27" s="134"/>
      <c r="AS27" s="131"/>
      <c r="AT27" s="131"/>
      <c r="AU27" s="131"/>
      <c r="AV27" s="132"/>
      <c r="AW27" s="134"/>
      <c r="AX27" s="131"/>
      <c r="AY27" s="131"/>
      <c r="AZ27" s="132"/>
      <c r="BA27" s="134"/>
      <c r="BB27" s="131"/>
      <c r="BC27" s="131"/>
      <c r="BD27" s="132"/>
      <c r="BE27" s="134"/>
      <c r="BF27" s="136"/>
      <c r="BG27" s="136"/>
      <c r="BH27" s="131"/>
      <c r="BI27" s="132"/>
      <c r="BJ27" s="133"/>
      <c r="BK27" s="135"/>
      <c r="BL27" s="131"/>
      <c r="BM27" s="136"/>
      <c r="BN27" s="134"/>
      <c r="BO27" s="131"/>
      <c r="BP27" s="131"/>
      <c r="BQ27" s="132"/>
      <c r="BR27" s="133"/>
      <c r="BS27" s="131"/>
      <c r="BT27" s="131"/>
      <c r="BU27" s="131"/>
      <c r="BV27" s="136"/>
      <c r="BW27" s="134"/>
      <c r="BX27" s="131"/>
      <c r="BY27" s="131"/>
      <c r="BZ27" s="132"/>
      <c r="CA27" s="133"/>
      <c r="CB27" s="131"/>
      <c r="CC27" s="131"/>
      <c r="CD27" s="132"/>
      <c r="CE27" s="137"/>
      <c r="CF27" s="133"/>
      <c r="CG27" s="138"/>
      <c r="CH27" s="138"/>
      <c r="CI27" s="139"/>
      <c r="CJ27" s="134"/>
      <c r="CK27" s="138"/>
      <c r="CL27" s="138"/>
      <c r="CM27" s="140"/>
      <c r="CR27" s="124"/>
      <c r="CV27" s="125"/>
      <c r="CW27" s="124"/>
      <c r="CZ27" s="126"/>
      <c r="DA27" s="124"/>
      <c r="DC27" s="193"/>
      <c r="DE27" s="124"/>
      <c r="DJ27" s="124"/>
      <c r="DK27" s="125"/>
      <c r="DM27" s="126"/>
      <c r="DN27" s="124"/>
      <c r="DS27" s="124"/>
      <c r="EA27" s="124"/>
      <c r="EE27" s="125"/>
      <c r="EF27" s="124"/>
      <c r="EJ27" s="124"/>
      <c r="EN27" s="124"/>
      <c r="ER27" s="126"/>
      <c r="EV27" s="125"/>
      <c r="EW27" s="124"/>
      <c r="EZ27" s="126"/>
      <c r="FF27" s="124"/>
      <c r="FI27" s="126"/>
      <c r="FK27" s="125"/>
      <c r="FN27" s="124"/>
      <c r="FR27" s="126"/>
      <c r="FW27" s="124"/>
      <c r="FZ27" s="126"/>
      <c r="GA27" s="124"/>
      <c r="GE27" s="141"/>
      <c r="GJ27" s="124"/>
      <c r="GM27" s="126"/>
      <c r="GS27" s="124"/>
      <c r="GV27" s="126"/>
      <c r="HA27" s="124"/>
      <c r="HE27" s="126"/>
      <c r="HJ27" s="124"/>
      <c r="HM27" s="126"/>
      <c r="HS27" s="124"/>
      <c r="HV27" s="126"/>
      <c r="IA27" s="124"/>
      <c r="IE27" s="125"/>
      <c r="IF27" s="124"/>
      <c r="II27" s="126"/>
      <c r="IN27" s="124"/>
      <c r="IR27" s="126"/>
      <c r="IW27" s="124"/>
      <c r="IZ27" s="126"/>
      <c r="JF27" s="124"/>
      <c r="JI27" s="126"/>
      <c r="JN27" s="124"/>
      <c r="JR27" s="126"/>
      <c r="JW27" s="124"/>
      <c r="JZ27" s="126"/>
      <c r="KD27" s="141"/>
      <c r="KE27" s="124"/>
      <c r="KH27" s="126"/>
    </row>
    <row r="28" spans="1:294" ht="21" customHeight="1">
      <c r="B28" s="127"/>
      <c r="C28" s="321" t="s">
        <v>391</v>
      </c>
      <c r="D28" s="199"/>
      <c r="E28" s="200"/>
      <c r="F28" s="201"/>
      <c r="G28" s="201"/>
      <c r="H28" s="201"/>
      <c r="I28" s="202"/>
      <c r="J28" s="203"/>
      <c r="K28" s="201"/>
      <c r="L28" s="201"/>
      <c r="M28" s="202"/>
      <c r="N28" s="204"/>
      <c r="O28" s="201"/>
      <c r="P28" s="201"/>
      <c r="Q28" s="202"/>
      <c r="R28" s="204"/>
      <c r="S28" s="201"/>
      <c r="T28" s="201"/>
      <c r="U28" s="202"/>
      <c r="V28" s="200"/>
      <c r="W28" s="201"/>
      <c r="X28" s="201"/>
      <c r="Y28" s="201"/>
      <c r="Z28" s="202"/>
      <c r="AA28" s="204"/>
      <c r="AB28" s="201"/>
      <c r="AC28" s="201"/>
      <c r="AD28" s="202"/>
      <c r="AE28" s="204"/>
      <c r="AF28" s="201"/>
      <c r="AG28" s="201"/>
      <c r="AH28" s="202"/>
      <c r="AI28" s="204"/>
      <c r="AJ28" s="201"/>
      <c r="AK28" s="205"/>
      <c r="AL28" s="201"/>
      <c r="AM28" s="202"/>
      <c r="AN28" s="204"/>
      <c r="AO28" s="201"/>
      <c r="AP28" s="201"/>
      <c r="AQ28" s="202"/>
      <c r="AR28" s="204"/>
      <c r="AS28" s="201"/>
      <c r="AT28" s="201"/>
      <c r="AU28" s="201"/>
      <c r="AV28" s="202"/>
      <c r="AW28" s="204"/>
      <c r="AX28" s="201"/>
      <c r="AY28" s="201"/>
      <c r="AZ28" s="202"/>
      <c r="BA28" s="204"/>
      <c r="BB28" s="201"/>
      <c r="BC28" s="201"/>
      <c r="BD28" s="202"/>
      <c r="BE28" s="204"/>
      <c r="BF28" s="206"/>
      <c r="BG28" s="206"/>
      <c r="BH28" s="201"/>
      <c r="BI28" s="202"/>
      <c r="BJ28" s="203"/>
      <c r="BK28" s="205"/>
      <c r="BL28" s="201"/>
      <c r="BM28" s="206"/>
      <c r="BN28" s="204"/>
      <c r="BO28" s="201"/>
      <c r="BP28" s="201"/>
      <c r="BQ28" s="202"/>
      <c r="BR28" s="203"/>
      <c r="BS28" s="201"/>
      <c r="BT28" s="201"/>
      <c r="BU28" s="201"/>
      <c r="BV28" s="206"/>
      <c r="BW28" s="204"/>
      <c r="BX28" s="201"/>
      <c r="BY28" s="201"/>
      <c r="BZ28" s="202"/>
      <c r="CA28" s="203"/>
      <c r="CB28" s="201"/>
      <c r="CC28" s="201"/>
      <c r="CD28" s="202"/>
      <c r="CE28" s="207"/>
      <c r="CF28" s="203"/>
      <c r="CG28" s="208"/>
      <c r="CH28" s="208"/>
      <c r="CI28" s="209"/>
      <c r="CJ28" s="204"/>
      <c r="CK28" s="208"/>
      <c r="CL28" s="208"/>
      <c r="CM28" s="210"/>
      <c r="CN28" s="195"/>
      <c r="CO28" s="195"/>
      <c r="CP28" s="195"/>
      <c r="CQ28" s="195"/>
      <c r="CR28" s="196"/>
      <c r="CS28" s="195"/>
      <c r="CT28" s="195"/>
      <c r="CU28" s="195"/>
      <c r="CV28" s="211"/>
      <c r="CW28" s="196"/>
      <c r="CX28" s="195"/>
      <c r="CY28" s="195"/>
      <c r="CZ28" s="197"/>
      <c r="DA28" s="196"/>
      <c r="DB28" s="195"/>
      <c r="DC28" s="212"/>
      <c r="DD28" s="195"/>
      <c r="DE28" s="196"/>
      <c r="DF28" s="195"/>
      <c r="DG28" s="195"/>
      <c r="DH28" s="195"/>
      <c r="DI28" s="195"/>
      <c r="DJ28" s="196"/>
      <c r="DK28" s="211"/>
      <c r="DL28" s="195"/>
      <c r="DM28" s="197"/>
      <c r="DN28" s="196"/>
      <c r="DO28" s="195"/>
      <c r="DP28" s="195"/>
      <c r="DQ28" s="195"/>
      <c r="DR28" s="195"/>
      <c r="DS28" s="196"/>
      <c r="DT28" s="195"/>
      <c r="DU28" s="195"/>
      <c r="DV28" s="195"/>
      <c r="DW28" s="195"/>
      <c r="DX28" s="195"/>
      <c r="DY28" s="195"/>
      <c r="DZ28" s="195"/>
      <c r="EA28" s="196"/>
      <c r="EB28" s="195"/>
      <c r="EC28" s="195"/>
      <c r="ED28" s="195"/>
      <c r="EE28" s="211"/>
      <c r="EF28" s="196"/>
      <c r="EG28" s="195"/>
      <c r="EH28" s="195"/>
      <c r="EI28" s="195"/>
      <c r="EJ28" s="196"/>
      <c r="EK28" s="195"/>
      <c r="EL28" s="195"/>
      <c r="EM28" s="195"/>
      <c r="EN28" s="196"/>
      <c r="EO28" s="195"/>
      <c r="EP28" s="195"/>
      <c r="EQ28" s="195"/>
      <c r="ER28" s="197"/>
      <c r="ES28" s="195"/>
      <c r="ET28" s="195"/>
      <c r="EU28" s="195"/>
      <c r="EV28" s="211"/>
      <c r="EW28" s="196"/>
      <c r="EX28" s="195"/>
      <c r="EY28" s="195"/>
      <c r="EZ28" s="197"/>
      <c r="FA28" s="195"/>
      <c r="FB28" s="195"/>
      <c r="FC28" s="195"/>
      <c r="FD28" s="195"/>
      <c r="FE28" s="195"/>
      <c r="FF28" s="196"/>
      <c r="FG28" s="195"/>
      <c r="FH28" s="195"/>
      <c r="FI28" s="197"/>
      <c r="FJ28" s="195"/>
      <c r="FK28" s="211"/>
      <c r="FL28" s="195"/>
      <c r="FM28" s="195"/>
      <c r="FN28" s="196"/>
      <c r="FO28" s="195"/>
      <c r="FP28" s="195"/>
      <c r="FQ28" s="195"/>
      <c r="FR28" s="197"/>
      <c r="FS28" s="195"/>
      <c r="FT28" s="195"/>
      <c r="FU28" s="195"/>
      <c r="FV28" s="195"/>
      <c r="FW28" s="124"/>
      <c r="FZ28" s="126"/>
      <c r="GA28" s="124"/>
      <c r="GE28" s="141"/>
      <c r="GJ28" s="124"/>
      <c r="GM28" s="126"/>
      <c r="GS28" s="124"/>
      <c r="GV28" s="126"/>
      <c r="HA28" s="124"/>
      <c r="HE28" s="126"/>
      <c r="HJ28" s="124"/>
      <c r="HM28" s="126"/>
      <c r="HS28" s="124"/>
      <c r="HV28" s="126"/>
      <c r="IA28" s="124"/>
      <c r="IE28" s="125"/>
      <c r="IF28" s="124"/>
      <c r="II28" s="126"/>
      <c r="IN28" s="124"/>
      <c r="IR28" s="126"/>
      <c r="IW28" s="124"/>
      <c r="IZ28" s="126"/>
      <c r="JF28" s="124"/>
      <c r="JI28" s="126"/>
      <c r="JN28" s="124"/>
      <c r="JR28" s="126"/>
      <c r="JW28" s="124"/>
      <c r="JZ28" s="126"/>
      <c r="KD28" s="141"/>
      <c r="KE28" s="124"/>
      <c r="KH28" s="126"/>
    </row>
    <row r="29" spans="1:294" ht="21" customHeight="1">
      <c r="B29" s="127"/>
      <c r="C29" s="215" t="s">
        <v>392</v>
      </c>
      <c r="D29" s="129"/>
      <c r="E29" s="130"/>
      <c r="F29" s="131"/>
      <c r="G29" s="131"/>
      <c r="H29" s="131"/>
      <c r="I29" s="132"/>
      <c r="J29" s="133"/>
      <c r="K29" s="131"/>
      <c r="L29" s="131"/>
      <c r="M29" s="132"/>
      <c r="N29" s="134"/>
      <c r="O29" s="131"/>
      <c r="P29" s="131"/>
      <c r="Q29" s="132"/>
      <c r="R29" s="134"/>
      <c r="S29" s="131"/>
      <c r="T29" s="131"/>
      <c r="U29" s="132"/>
      <c r="V29" s="130"/>
      <c r="W29" s="131"/>
      <c r="X29" s="131"/>
      <c r="Y29" s="131"/>
      <c r="Z29" s="132"/>
      <c r="AA29" s="134"/>
      <c r="AB29" s="131"/>
      <c r="AC29" s="131"/>
      <c r="AD29" s="132"/>
      <c r="AE29" s="134"/>
      <c r="AF29" s="131"/>
      <c r="AG29" s="131"/>
      <c r="AH29" s="132"/>
      <c r="AI29" s="134"/>
      <c r="AJ29" s="131"/>
      <c r="AK29" s="135"/>
      <c r="AL29" s="131"/>
      <c r="AM29" s="132"/>
      <c r="AN29" s="134"/>
      <c r="AO29" s="131"/>
      <c r="AP29" s="131"/>
      <c r="AQ29" s="132"/>
      <c r="AR29" s="134"/>
      <c r="AS29" s="131"/>
      <c r="AT29" s="131"/>
      <c r="AU29" s="131"/>
      <c r="AV29" s="132"/>
      <c r="AW29" s="134"/>
      <c r="AX29" s="131"/>
      <c r="AY29" s="131"/>
      <c r="AZ29" s="132"/>
      <c r="BA29" s="134"/>
      <c r="BB29" s="131"/>
      <c r="BC29" s="131"/>
      <c r="BD29" s="132"/>
      <c r="BE29" s="134"/>
      <c r="BF29" s="136"/>
      <c r="BG29" s="136"/>
      <c r="BH29" s="131"/>
      <c r="BI29" s="132"/>
      <c r="BJ29" s="133"/>
      <c r="BK29" s="135"/>
      <c r="BL29" s="131"/>
      <c r="BM29" s="136"/>
      <c r="BN29" s="134"/>
      <c r="BO29" s="131"/>
      <c r="BP29" s="131"/>
      <c r="BQ29" s="132"/>
      <c r="BR29" s="133"/>
      <c r="BS29" s="131"/>
      <c r="BT29" s="131"/>
      <c r="BU29" s="131"/>
      <c r="BV29" s="136"/>
      <c r="BW29" s="134"/>
      <c r="BX29" s="131"/>
      <c r="BY29" s="131"/>
      <c r="BZ29" s="132"/>
      <c r="CA29" s="133"/>
      <c r="CB29" s="131"/>
      <c r="CC29" s="131"/>
      <c r="CD29" s="132"/>
      <c r="CE29" s="137"/>
      <c r="CF29" s="133"/>
      <c r="CG29" s="138"/>
      <c r="CH29" s="138"/>
      <c r="CI29" s="139"/>
      <c r="CJ29" s="134"/>
      <c r="CK29" s="138"/>
      <c r="CL29" s="138"/>
      <c r="CM29" s="140"/>
      <c r="CR29" s="124"/>
      <c r="CV29" s="125"/>
      <c r="CW29" s="124"/>
      <c r="CZ29" s="126"/>
      <c r="DA29" s="124"/>
      <c r="DC29" s="193"/>
      <c r="DE29" s="124"/>
      <c r="DJ29" s="124"/>
      <c r="DK29" s="125"/>
      <c r="DM29" s="126"/>
      <c r="DN29" s="124"/>
      <c r="DS29" s="124"/>
      <c r="EA29" s="124"/>
      <c r="EE29" s="125"/>
      <c r="EF29" s="124"/>
      <c r="EJ29" s="124"/>
      <c r="EN29" s="124"/>
      <c r="ER29" s="126"/>
      <c r="EV29" s="125"/>
      <c r="EW29" s="124"/>
      <c r="EZ29" s="126"/>
      <c r="FF29" s="124"/>
      <c r="FI29" s="126"/>
      <c r="FK29" s="125"/>
      <c r="FN29" s="124"/>
      <c r="FR29" s="126"/>
      <c r="FW29" s="124"/>
      <c r="FZ29" s="126"/>
      <c r="GA29" s="124"/>
      <c r="GE29" s="141"/>
      <c r="GJ29" s="124"/>
      <c r="GM29" s="126"/>
      <c r="GS29" s="124"/>
      <c r="GV29" s="126"/>
      <c r="HA29" s="124"/>
      <c r="HE29" s="126"/>
      <c r="HJ29" s="124"/>
      <c r="HM29" s="126"/>
      <c r="HS29" s="124"/>
      <c r="HV29" s="126"/>
      <c r="IA29" s="124"/>
      <c r="IE29" s="125"/>
      <c r="IF29" s="124"/>
      <c r="II29" s="126"/>
      <c r="IN29" s="124"/>
      <c r="IR29" s="126"/>
      <c r="IW29" s="124"/>
      <c r="IZ29" s="126"/>
      <c r="JF29" s="124"/>
      <c r="JI29" s="126"/>
      <c r="JN29" s="124"/>
      <c r="JR29" s="126"/>
      <c r="JW29" s="124"/>
      <c r="JZ29" s="126"/>
      <c r="KD29" s="141"/>
      <c r="KE29" s="124"/>
      <c r="KH29" s="126"/>
    </row>
    <row r="30" spans="1:294" ht="21" customHeight="1">
      <c r="B30" s="127"/>
      <c r="C30" s="215"/>
      <c r="D30" s="129"/>
      <c r="E30" s="130"/>
      <c r="F30" s="131"/>
      <c r="G30" s="131"/>
      <c r="H30" s="131"/>
      <c r="I30" s="132"/>
      <c r="J30" s="133"/>
      <c r="K30" s="131"/>
      <c r="L30" s="131"/>
      <c r="M30" s="132"/>
      <c r="N30" s="134"/>
      <c r="O30" s="131"/>
      <c r="P30" s="131"/>
      <c r="Q30" s="132"/>
      <c r="R30" s="134"/>
      <c r="S30" s="131"/>
      <c r="T30" s="131"/>
      <c r="U30" s="132"/>
      <c r="V30" s="130"/>
      <c r="W30" s="131"/>
      <c r="X30" s="131"/>
      <c r="Y30" s="131"/>
      <c r="Z30" s="132"/>
      <c r="AA30" s="134"/>
      <c r="AB30" s="131"/>
      <c r="AC30" s="131"/>
      <c r="AD30" s="132"/>
      <c r="AE30" s="134"/>
      <c r="AF30" s="131"/>
      <c r="AG30" s="131"/>
      <c r="AH30" s="132"/>
      <c r="AI30" s="134"/>
      <c r="AJ30" s="131"/>
      <c r="AK30" s="135"/>
      <c r="AL30" s="131"/>
      <c r="AM30" s="132"/>
      <c r="AN30" s="134"/>
      <c r="AO30" s="131"/>
      <c r="AP30" s="131"/>
      <c r="AQ30" s="132"/>
      <c r="AR30" s="134"/>
      <c r="AS30" s="131"/>
      <c r="AT30" s="131"/>
      <c r="AU30" s="131"/>
      <c r="AV30" s="132"/>
      <c r="AW30" s="134"/>
      <c r="AX30" s="131"/>
      <c r="AY30" s="131"/>
      <c r="AZ30" s="132"/>
      <c r="BA30" s="134"/>
      <c r="BB30" s="131"/>
      <c r="BC30" s="131"/>
      <c r="BD30" s="132"/>
      <c r="BE30" s="134"/>
      <c r="BF30" s="136"/>
      <c r="BG30" s="136"/>
      <c r="BH30" s="131"/>
      <c r="BI30" s="132"/>
      <c r="BJ30" s="133"/>
      <c r="BK30" s="135"/>
      <c r="BL30" s="131"/>
      <c r="BM30" s="136"/>
      <c r="BN30" s="134"/>
      <c r="BO30" s="131"/>
      <c r="BP30" s="131"/>
      <c r="BQ30" s="132"/>
      <c r="BR30" s="133"/>
      <c r="BS30" s="131"/>
      <c r="BT30" s="131"/>
      <c r="BU30" s="131"/>
      <c r="BV30" s="136"/>
      <c r="BW30" s="134"/>
      <c r="BX30" s="131"/>
      <c r="BY30" s="131"/>
      <c r="BZ30" s="132"/>
      <c r="CA30" s="133"/>
      <c r="CB30" s="131"/>
      <c r="CC30" s="131"/>
      <c r="CD30" s="132"/>
      <c r="CE30" s="137"/>
      <c r="CF30" s="133"/>
      <c r="CG30" s="138"/>
      <c r="CH30" s="138"/>
      <c r="CI30" s="139"/>
      <c r="CJ30" s="134"/>
      <c r="CK30" s="138"/>
      <c r="CL30" s="138"/>
      <c r="CM30" s="140"/>
      <c r="CR30" s="124"/>
      <c r="CV30" s="125"/>
      <c r="CW30" s="124"/>
      <c r="CZ30" s="126"/>
      <c r="DA30" s="124"/>
      <c r="DC30" s="193"/>
      <c r="DE30" s="124"/>
      <c r="DJ30" s="124"/>
      <c r="DK30" s="125"/>
      <c r="DM30" s="126"/>
      <c r="DN30" s="124"/>
      <c r="DS30" s="124"/>
      <c r="EA30" s="124"/>
      <c r="EE30" s="125"/>
      <c r="EF30" s="124"/>
      <c r="EJ30" s="124"/>
      <c r="EN30" s="124"/>
      <c r="ER30" s="126"/>
      <c r="EV30" s="125"/>
      <c r="EW30" s="124"/>
      <c r="EZ30" s="126"/>
      <c r="FF30" s="124"/>
      <c r="FI30" s="126"/>
      <c r="FK30" s="125"/>
      <c r="FN30" s="124"/>
      <c r="FR30" s="126"/>
      <c r="FW30" s="124"/>
      <c r="FZ30" s="126"/>
      <c r="GA30" s="124"/>
      <c r="GE30" s="141"/>
      <c r="GJ30" s="124"/>
      <c r="GM30" s="126"/>
      <c r="GS30" s="124"/>
      <c r="GV30" s="126"/>
      <c r="HA30" s="124"/>
      <c r="HE30" s="126"/>
      <c r="HJ30" s="124"/>
      <c r="HM30" s="126"/>
      <c r="HS30" s="124"/>
      <c r="HV30" s="126"/>
      <c r="IA30" s="124"/>
      <c r="IE30" s="125"/>
      <c r="IF30" s="124"/>
      <c r="II30" s="126"/>
      <c r="IN30" s="124"/>
      <c r="IR30" s="126"/>
      <c r="IW30" s="124"/>
      <c r="IZ30" s="126"/>
      <c r="JF30" s="124"/>
      <c r="JI30" s="126"/>
      <c r="JN30" s="124"/>
      <c r="JR30" s="126"/>
      <c r="JW30" s="124"/>
      <c r="JZ30" s="126"/>
      <c r="KD30" s="141"/>
      <c r="KE30" s="124"/>
      <c r="KH30" s="126"/>
    </row>
    <row r="31" spans="1:294" ht="21" customHeight="1">
      <c r="B31" s="127"/>
      <c r="C31" s="215"/>
      <c r="D31" s="129"/>
      <c r="E31" s="130"/>
      <c r="F31" s="131"/>
      <c r="G31" s="131"/>
      <c r="H31" s="131"/>
      <c r="I31" s="132"/>
      <c r="J31" s="133"/>
      <c r="K31" s="131"/>
      <c r="L31" s="131"/>
      <c r="M31" s="132"/>
      <c r="N31" s="134"/>
      <c r="O31" s="131"/>
      <c r="P31" s="131"/>
      <c r="Q31" s="132"/>
      <c r="R31" s="134"/>
      <c r="S31" s="131"/>
      <c r="T31" s="131"/>
      <c r="U31" s="132"/>
      <c r="V31" s="130"/>
      <c r="W31" s="131"/>
      <c r="X31" s="131"/>
      <c r="Y31" s="131"/>
      <c r="Z31" s="132"/>
      <c r="AA31" s="134"/>
      <c r="AB31" s="131"/>
      <c r="AC31" s="131"/>
      <c r="AD31" s="132"/>
      <c r="AE31" s="134"/>
      <c r="AF31" s="131"/>
      <c r="AG31" s="131"/>
      <c r="AH31" s="132"/>
      <c r="AI31" s="134"/>
      <c r="AJ31" s="131"/>
      <c r="AK31" s="135"/>
      <c r="AL31" s="131"/>
      <c r="AM31" s="132"/>
      <c r="AN31" s="134"/>
      <c r="AO31" s="131"/>
      <c r="AP31" s="131"/>
      <c r="AQ31" s="132"/>
      <c r="AR31" s="134"/>
      <c r="AS31" s="131"/>
      <c r="AT31" s="131"/>
      <c r="AU31" s="131"/>
      <c r="AV31" s="132"/>
      <c r="AW31" s="134"/>
      <c r="AX31" s="131"/>
      <c r="AY31" s="131"/>
      <c r="AZ31" s="132"/>
      <c r="BA31" s="134"/>
      <c r="BB31" s="131"/>
      <c r="BC31" s="131"/>
      <c r="BD31" s="132"/>
      <c r="BE31" s="134"/>
      <c r="BF31" s="136"/>
      <c r="BG31" s="136"/>
      <c r="BH31" s="131"/>
      <c r="BI31" s="132"/>
      <c r="BJ31" s="133"/>
      <c r="BK31" s="135"/>
      <c r="BL31" s="131"/>
      <c r="BM31" s="136"/>
      <c r="BN31" s="134"/>
      <c r="BO31" s="131"/>
      <c r="BP31" s="131"/>
      <c r="BQ31" s="132"/>
      <c r="BR31" s="133"/>
      <c r="BS31" s="131"/>
      <c r="BT31" s="131"/>
      <c r="BU31" s="131"/>
      <c r="BV31" s="136"/>
      <c r="BW31" s="134"/>
      <c r="BX31" s="131"/>
      <c r="BY31" s="131"/>
      <c r="BZ31" s="132"/>
      <c r="CA31" s="133"/>
      <c r="CB31" s="131"/>
      <c r="CC31" s="131"/>
      <c r="CD31" s="132"/>
      <c r="CE31" s="137"/>
      <c r="CF31" s="133"/>
      <c r="CG31" s="138"/>
      <c r="CH31" s="138"/>
      <c r="CI31" s="139"/>
      <c r="CJ31" s="134"/>
      <c r="CK31" s="138"/>
      <c r="CL31" s="138"/>
      <c r="CM31" s="140"/>
      <c r="CR31" s="124"/>
      <c r="CV31" s="125"/>
      <c r="CW31" s="124"/>
      <c r="CZ31" s="126"/>
      <c r="DA31" s="124"/>
      <c r="DC31" s="193"/>
      <c r="DE31" s="124"/>
      <c r="DJ31" s="124"/>
      <c r="DK31" s="125"/>
      <c r="DM31" s="126"/>
      <c r="DN31" s="124"/>
      <c r="DS31" s="124"/>
      <c r="EA31" s="124"/>
      <c r="EE31" s="125"/>
      <c r="EF31" s="124"/>
      <c r="EJ31" s="124"/>
      <c r="EN31" s="124"/>
      <c r="ER31" s="126"/>
      <c r="EV31" s="125"/>
      <c r="EW31" s="124"/>
      <c r="EZ31" s="126"/>
      <c r="FF31" s="124"/>
      <c r="FI31" s="126"/>
      <c r="FK31" s="125"/>
      <c r="FN31" s="124"/>
      <c r="FR31" s="126"/>
      <c r="FW31" s="124"/>
      <c r="FZ31" s="126"/>
      <c r="GA31" s="124"/>
      <c r="GE31" s="141"/>
      <c r="GJ31" s="124"/>
      <c r="GM31" s="126"/>
      <c r="GS31" s="124"/>
      <c r="GV31" s="126"/>
      <c r="HA31" s="124"/>
      <c r="HE31" s="126"/>
      <c r="HJ31" s="124"/>
      <c r="HM31" s="126"/>
      <c r="HS31" s="124"/>
      <c r="HV31" s="126"/>
      <c r="IA31" s="124"/>
      <c r="IE31" s="125"/>
      <c r="IF31" s="124"/>
      <c r="II31" s="126"/>
      <c r="IN31" s="124"/>
      <c r="IR31" s="126"/>
      <c r="IW31" s="124"/>
      <c r="IZ31" s="126"/>
      <c r="JF31" s="124"/>
      <c r="JI31" s="126"/>
      <c r="JN31" s="124"/>
      <c r="JR31" s="126"/>
      <c r="JW31" s="124"/>
      <c r="JZ31" s="126"/>
      <c r="KD31" s="141"/>
      <c r="KE31" s="124"/>
      <c r="KH31" s="126"/>
    </row>
    <row r="32" spans="1:294" ht="21" customHeight="1">
      <c r="B32" s="127"/>
      <c r="C32" s="192" t="s">
        <v>175</v>
      </c>
      <c r="D32" s="129"/>
      <c r="E32" s="130"/>
      <c r="F32" s="131"/>
      <c r="G32" s="131"/>
      <c r="H32" s="131"/>
      <c r="I32" s="132"/>
      <c r="J32" s="133"/>
      <c r="K32" s="131"/>
      <c r="L32" s="131"/>
      <c r="M32" s="132"/>
      <c r="N32" s="134"/>
      <c r="O32" s="131"/>
      <c r="P32" s="131"/>
      <c r="Q32" s="132"/>
      <c r="R32" s="134"/>
      <c r="S32" s="131"/>
      <c r="T32" s="131"/>
      <c r="U32" s="132"/>
      <c r="V32" s="130"/>
      <c r="W32" s="131"/>
      <c r="X32" s="131"/>
      <c r="Y32" s="131"/>
      <c r="Z32" s="132"/>
      <c r="AA32" s="134"/>
      <c r="AB32" s="131"/>
      <c r="AC32" s="131"/>
      <c r="AD32" s="132"/>
      <c r="AE32" s="134"/>
      <c r="AF32" s="131"/>
      <c r="AG32" s="131"/>
      <c r="AH32" s="132"/>
      <c r="AI32" s="134"/>
      <c r="AJ32" s="131"/>
      <c r="AK32" s="135"/>
      <c r="AL32" s="131"/>
      <c r="AM32" s="132"/>
      <c r="AN32" s="134"/>
      <c r="AO32" s="131"/>
      <c r="AP32" s="131"/>
      <c r="AQ32" s="132"/>
      <c r="AR32" s="134"/>
      <c r="AS32" s="131"/>
      <c r="AT32" s="131"/>
      <c r="AU32" s="131"/>
      <c r="AV32" s="132"/>
      <c r="AW32" s="134"/>
      <c r="AX32" s="131"/>
      <c r="AY32" s="131"/>
      <c r="AZ32" s="132"/>
      <c r="BA32" s="134"/>
      <c r="BB32" s="131"/>
      <c r="BC32" s="131"/>
      <c r="BD32" s="132"/>
      <c r="BE32" s="134"/>
      <c r="BF32" s="136"/>
      <c r="BG32" s="136"/>
      <c r="BH32" s="131"/>
      <c r="BI32" s="132"/>
      <c r="BJ32" s="133"/>
      <c r="BK32" s="135"/>
      <c r="BL32" s="131"/>
      <c r="BM32" s="136"/>
      <c r="BN32" s="134"/>
      <c r="BO32" s="131"/>
      <c r="BP32" s="131"/>
      <c r="BQ32" s="132"/>
      <c r="BR32" s="133"/>
      <c r="BS32" s="131"/>
      <c r="BT32" s="131"/>
      <c r="BU32" s="131"/>
      <c r="BV32" s="136"/>
      <c r="BW32" s="134"/>
      <c r="BX32" s="131"/>
      <c r="BY32" s="131"/>
      <c r="BZ32" s="132"/>
      <c r="CA32" s="133"/>
      <c r="CB32" s="131"/>
      <c r="CC32" s="131"/>
      <c r="CD32" s="132"/>
      <c r="CE32" s="137"/>
      <c r="CF32" s="133"/>
      <c r="CG32" s="138"/>
      <c r="CH32" s="138"/>
      <c r="CI32" s="139"/>
      <c r="CJ32" s="134"/>
      <c r="CK32" s="138"/>
      <c r="CL32" s="138"/>
      <c r="CM32" s="140"/>
      <c r="CR32" s="124"/>
      <c r="CV32" s="125"/>
      <c r="CW32" s="124"/>
      <c r="CZ32" s="126"/>
      <c r="DA32" s="124"/>
      <c r="DC32" s="193"/>
      <c r="DE32" s="124"/>
      <c r="DJ32" s="124"/>
      <c r="DK32" s="125"/>
      <c r="DM32" s="126"/>
      <c r="DN32" s="124"/>
      <c r="DS32" s="124"/>
      <c r="EA32" s="124"/>
      <c r="EE32" s="125"/>
      <c r="EF32" s="124"/>
      <c r="EJ32" s="124"/>
      <c r="EN32" s="124"/>
      <c r="ER32" s="126"/>
      <c r="EV32" s="125"/>
      <c r="EW32" s="124"/>
      <c r="EZ32" s="126"/>
      <c r="FF32" s="124"/>
      <c r="FI32" s="126"/>
      <c r="FK32" s="125"/>
      <c r="FL32" s="216"/>
      <c r="FM32" s="216"/>
      <c r="FN32" s="217"/>
      <c r="FO32" s="216"/>
      <c r="FP32" s="216"/>
      <c r="FQ32" s="216"/>
      <c r="FR32" s="218"/>
      <c r="FS32" s="216"/>
      <c r="FT32" s="216"/>
      <c r="FU32" s="216"/>
      <c r="FV32" s="216"/>
      <c r="FW32" s="217"/>
      <c r="FX32" s="216"/>
      <c r="FY32" s="216"/>
      <c r="FZ32" s="218"/>
      <c r="GA32" s="217"/>
      <c r="GB32" s="216"/>
      <c r="GC32" s="216"/>
      <c r="GD32" s="216"/>
      <c r="GE32" s="219"/>
      <c r="GF32" s="216"/>
      <c r="GG32" s="216"/>
      <c r="GH32" s="216"/>
      <c r="GI32" s="216"/>
      <c r="GJ32" s="217"/>
      <c r="GK32" s="216"/>
      <c r="GL32" s="216"/>
      <c r="GM32" s="218"/>
      <c r="GN32" s="216"/>
      <c r="GS32" s="124"/>
      <c r="GV32" s="126"/>
      <c r="HA32" s="124"/>
      <c r="HE32" s="126"/>
      <c r="HJ32" s="124"/>
      <c r="HM32" s="126"/>
      <c r="HS32" s="124"/>
      <c r="HV32" s="126"/>
      <c r="IA32" s="124"/>
      <c r="IE32" s="125"/>
      <c r="IF32" s="124"/>
      <c r="II32" s="126"/>
      <c r="IN32" s="124"/>
      <c r="IR32" s="126"/>
      <c r="IW32" s="124"/>
      <c r="IZ32" s="126"/>
      <c r="JF32" s="124"/>
      <c r="JI32" s="126"/>
      <c r="JN32" s="124"/>
      <c r="JR32" s="126"/>
      <c r="JW32" s="124"/>
      <c r="JZ32" s="126"/>
      <c r="KD32" s="141"/>
      <c r="KE32" s="124"/>
      <c r="KH32" s="126"/>
    </row>
    <row r="33" spans="1:294" ht="21" customHeight="1">
      <c r="B33" s="127"/>
      <c r="C33" s="215" t="s">
        <v>393</v>
      </c>
      <c r="D33" s="129"/>
      <c r="E33" s="130"/>
      <c r="F33" s="131"/>
      <c r="G33" s="131"/>
      <c r="H33" s="131"/>
      <c r="I33" s="132"/>
      <c r="J33" s="133"/>
      <c r="K33" s="131"/>
      <c r="L33" s="131"/>
      <c r="M33" s="132"/>
      <c r="N33" s="134"/>
      <c r="O33" s="131"/>
      <c r="P33" s="131"/>
      <c r="Q33" s="132"/>
      <c r="R33" s="134"/>
      <c r="S33" s="131"/>
      <c r="T33" s="131"/>
      <c r="U33" s="132"/>
      <c r="V33" s="130"/>
      <c r="W33" s="131"/>
      <c r="X33" s="131"/>
      <c r="Y33" s="131"/>
      <c r="Z33" s="132"/>
      <c r="AA33" s="134"/>
      <c r="AB33" s="131"/>
      <c r="AC33" s="131"/>
      <c r="AD33" s="132"/>
      <c r="AE33" s="134"/>
      <c r="AF33" s="131"/>
      <c r="AG33" s="131"/>
      <c r="AH33" s="132"/>
      <c r="AI33" s="134"/>
      <c r="AJ33" s="131"/>
      <c r="AK33" s="135"/>
      <c r="AL33" s="131"/>
      <c r="AM33" s="132"/>
      <c r="AN33" s="134"/>
      <c r="AO33" s="131"/>
      <c r="AP33" s="131"/>
      <c r="AQ33" s="132"/>
      <c r="AR33" s="134"/>
      <c r="AS33" s="131"/>
      <c r="AT33" s="131"/>
      <c r="AU33" s="131"/>
      <c r="AV33" s="132"/>
      <c r="AW33" s="134"/>
      <c r="AX33" s="131"/>
      <c r="AY33" s="131"/>
      <c r="AZ33" s="132"/>
      <c r="BA33" s="134"/>
      <c r="BB33" s="131"/>
      <c r="BC33" s="131"/>
      <c r="BD33" s="132"/>
      <c r="BE33" s="134"/>
      <c r="BF33" s="136"/>
      <c r="BG33" s="136"/>
      <c r="BH33" s="131"/>
      <c r="BI33" s="132"/>
      <c r="BJ33" s="133"/>
      <c r="BK33" s="135"/>
      <c r="BL33" s="131"/>
      <c r="BM33" s="136"/>
      <c r="BN33" s="134"/>
      <c r="BO33" s="131"/>
      <c r="BP33" s="131"/>
      <c r="BQ33" s="132"/>
      <c r="BR33" s="133"/>
      <c r="BS33" s="131"/>
      <c r="BT33" s="131"/>
      <c r="BU33" s="131"/>
      <c r="BV33" s="136"/>
      <c r="BW33" s="134"/>
      <c r="BX33" s="131"/>
      <c r="BY33" s="131"/>
      <c r="BZ33" s="132"/>
      <c r="CA33" s="133"/>
      <c r="CB33" s="131"/>
      <c r="CC33" s="131"/>
      <c r="CD33" s="132"/>
      <c r="CE33" s="137"/>
      <c r="CF33" s="133"/>
      <c r="CG33" s="138"/>
      <c r="CH33" s="138"/>
      <c r="CI33" s="139"/>
      <c r="CJ33" s="134"/>
      <c r="CK33" s="138"/>
      <c r="CL33" s="138"/>
      <c r="CM33" s="140"/>
      <c r="CR33" s="124"/>
      <c r="CV33" s="125"/>
      <c r="CW33" s="124"/>
      <c r="CZ33" s="126"/>
      <c r="DA33" s="124"/>
      <c r="DC33" s="193"/>
      <c r="DE33" s="124"/>
      <c r="DJ33" s="124"/>
      <c r="DK33" s="125"/>
      <c r="DM33" s="126"/>
      <c r="DN33" s="124"/>
      <c r="DS33" s="124"/>
      <c r="EA33" s="124"/>
      <c r="EE33" s="125"/>
      <c r="EF33" s="124"/>
      <c r="EJ33" s="124"/>
      <c r="EN33" s="124"/>
      <c r="ER33" s="126"/>
      <c r="EV33" s="125"/>
      <c r="EW33" s="124"/>
      <c r="EZ33" s="126"/>
      <c r="FF33" s="124"/>
      <c r="FI33" s="126"/>
      <c r="FK33" s="125"/>
      <c r="FN33" s="124"/>
      <c r="FR33" s="126"/>
      <c r="FW33" s="124"/>
      <c r="FZ33" s="126"/>
      <c r="GA33" s="124"/>
      <c r="GE33" s="141"/>
      <c r="GJ33" s="124"/>
      <c r="GM33" s="126"/>
      <c r="GS33" s="124"/>
      <c r="GV33" s="126"/>
      <c r="HA33" s="124"/>
      <c r="HE33" s="126"/>
      <c r="HJ33" s="124"/>
      <c r="HM33" s="126"/>
      <c r="HS33" s="124"/>
      <c r="HV33" s="126"/>
      <c r="IA33" s="124"/>
      <c r="IE33" s="125"/>
      <c r="IF33" s="124"/>
      <c r="II33" s="126"/>
      <c r="IN33" s="124"/>
      <c r="IR33" s="126"/>
      <c r="IW33" s="124"/>
      <c r="IZ33" s="126"/>
      <c r="JF33" s="124"/>
      <c r="JI33" s="126"/>
      <c r="JN33" s="124"/>
      <c r="JR33" s="126"/>
      <c r="JW33" s="124"/>
      <c r="JZ33" s="126"/>
      <c r="KD33" s="141"/>
      <c r="KE33" s="124"/>
      <c r="KH33" s="126"/>
    </row>
    <row r="34" spans="1:294" ht="21" customHeight="1">
      <c r="B34" s="127"/>
      <c r="C34" s="215"/>
      <c r="D34" s="129"/>
      <c r="E34" s="130"/>
      <c r="F34" s="131"/>
      <c r="G34" s="131"/>
      <c r="H34" s="131"/>
      <c r="I34" s="132"/>
      <c r="J34" s="133"/>
      <c r="K34" s="131"/>
      <c r="L34" s="131"/>
      <c r="M34" s="132"/>
      <c r="N34" s="134"/>
      <c r="O34" s="131"/>
      <c r="P34" s="131"/>
      <c r="Q34" s="132"/>
      <c r="R34" s="134"/>
      <c r="S34" s="131"/>
      <c r="T34" s="131"/>
      <c r="U34" s="132"/>
      <c r="V34" s="130"/>
      <c r="W34" s="131"/>
      <c r="X34" s="131"/>
      <c r="Y34" s="131"/>
      <c r="Z34" s="132"/>
      <c r="AA34" s="134"/>
      <c r="AB34" s="131"/>
      <c r="AC34" s="131"/>
      <c r="AD34" s="132"/>
      <c r="AE34" s="134"/>
      <c r="AF34" s="131"/>
      <c r="AG34" s="131"/>
      <c r="AH34" s="132"/>
      <c r="AI34" s="134"/>
      <c r="AJ34" s="131"/>
      <c r="AK34" s="135"/>
      <c r="AL34" s="131"/>
      <c r="AM34" s="132"/>
      <c r="AN34" s="134"/>
      <c r="AO34" s="131"/>
      <c r="AP34" s="131"/>
      <c r="AQ34" s="132"/>
      <c r="AR34" s="134"/>
      <c r="AS34" s="131"/>
      <c r="AT34" s="131"/>
      <c r="AU34" s="131"/>
      <c r="AV34" s="132"/>
      <c r="AW34" s="134"/>
      <c r="AX34" s="131"/>
      <c r="AY34" s="131"/>
      <c r="AZ34" s="132"/>
      <c r="BA34" s="134"/>
      <c r="BB34" s="131"/>
      <c r="BC34" s="131"/>
      <c r="BD34" s="132"/>
      <c r="BE34" s="134"/>
      <c r="BF34" s="136"/>
      <c r="BG34" s="136"/>
      <c r="BH34" s="131"/>
      <c r="BI34" s="132"/>
      <c r="BJ34" s="133"/>
      <c r="BK34" s="135"/>
      <c r="BL34" s="131"/>
      <c r="BM34" s="136"/>
      <c r="BN34" s="134"/>
      <c r="BO34" s="131"/>
      <c r="BP34" s="131"/>
      <c r="BQ34" s="132"/>
      <c r="BR34" s="133"/>
      <c r="BS34" s="131"/>
      <c r="BT34" s="131"/>
      <c r="BU34" s="131"/>
      <c r="BV34" s="136"/>
      <c r="BW34" s="134"/>
      <c r="BX34" s="131"/>
      <c r="BY34" s="131"/>
      <c r="BZ34" s="132"/>
      <c r="CA34" s="133"/>
      <c r="CB34" s="131"/>
      <c r="CC34" s="131"/>
      <c r="CD34" s="132"/>
      <c r="CE34" s="137"/>
      <c r="CF34" s="133"/>
      <c r="CG34" s="138"/>
      <c r="CH34" s="138"/>
      <c r="CI34" s="139"/>
      <c r="CJ34" s="134"/>
      <c r="CK34" s="138"/>
      <c r="CL34" s="138"/>
      <c r="CM34" s="140"/>
      <c r="CR34" s="124"/>
      <c r="CV34" s="125"/>
      <c r="CW34" s="124"/>
      <c r="CZ34" s="126"/>
      <c r="DA34" s="124"/>
      <c r="DC34" s="193"/>
      <c r="DE34" s="124"/>
      <c r="DJ34" s="124"/>
      <c r="DK34" s="125"/>
      <c r="DM34" s="126"/>
      <c r="DN34" s="124"/>
      <c r="DS34" s="124"/>
      <c r="EA34" s="124"/>
      <c r="EE34" s="125"/>
      <c r="EF34" s="124"/>
      <c r="EJ34" s="124"/>
      <c r="EN34" s="124"/>
      <c r="ER34" s="126"/>
      <c r="EV34" s="125"/>
      <c r="EW34" s="124"/>
      <c r="EZ34" s="126"/>
      <c r="FF34" s="124"/>
      <c r="FI34" s="126"/>
      <c r="FK34" s="125"/>
      <c r="FN34" s="124"/>
      <c r="FR34" s="126"/>
      <c r="FW34" s="124"/>
      <c r="FZ34" s="126"/>
      <c r="GA34" s="124"/>
      <c r="GE34" s="141"/>
      <c r="GJ34" s="124"/>
      <c r="GM34" s="126"/>
      <c r="GS34" s="124"/>
      <c r="GV34" s="126"/>
      <c r="HA34" s="124"/>
      <c r="HE34" s="126"/>
      <c r="HJ34" s="124"/>
      <c r="HM34" s="126"/>
      <c r="HS34" s="124"/>
      <c r="HV34" s="126"/>
      <c r="IA34" s="124"/>
      <c r="IE34" s="125"/>
      <c r="IF34" s="124"/>
      <c r="II34" s="126"/>
      <c r="IN34" s="124"/>
      <c r="IR34" s="126"/>
      <c r="IW34" s="124"/>
      <c r="IZ34" s="126"/>
      <c r="JF34" s="124"/>
      <c r="JI34" s="126"/>
      <c r="JN34" s="124"/>
      <c r="JR34" s="126"/>
      <c r="JW34" s="124"/>
      <c r="JZ34" s="126"/>
      <c r="KD34" s="141"/>
      <c r="KE34" s="124"/>
      <c r="KH34" s="126"/>
    </row>
    <row r="35" spans="1:294" ht="21" customHeight="1">
      <c r="B35" s="127"/>
      <c r="C35" s="322"/>
      <c r="D35" s="129"/>
      <c r="E35" s="130"/>
      <c r="F35" s="131"/>
      <c r="G35" s="131"/>
      <c r="H35" s="131"/>
      <c r="I35" s="132"/>
      <c r="J35" s="133"/>
      <c r="K35" s="131"/>
      <c r="L35" s="131"/>
      <c r="M35" s="132"/>
      <c r="N35" s="134"/>
      <c r="O35" s="131"/>
      <c r="P35" s="131"/>
      <c r="Q35" s="132"/>
      <c r="R35" s="134"/>
      <c r="S35" s="131"/>
      <c r="T35" s="131"/>
      <c r="U35" s="132"/>
      <c r="V35" s="130"/>
      <c r="W35" s="131"/>
      <c r="X35" s="131"/>
      <c r="Y35" s="131"/>
      <c r="Z35" s="132"/>
      <c r="AA35" s="134"/>
      <c r="AB35" s="131"/>
      <c r="AC35" s="131"/>
      <c r="AD35" s="132"/>
      <c r="AE35" s="134"/>
      <c r="AF35" s="131"/>
      <c r="AG35" s="131"/>
      <c r="AH35" s="132"/>
      <c r="AI35" s="134"/>
      <c r="AJ35" s="131"/>
      <c r="AK35" s="135"/>
      <c r="AL35" s="131"/>
      <c r="AM35" s="132"/>
      <c r="AN35" s="134"/>
      <c r="AO35" s="131"/>
      <c r="AP35" s="131"/>
      <c r="AQ35" s="132"/>
      <c r="AR35" s="134"/>
      <c r="AS35" s="131"/>
      <c r="AT35" s="131"/>
      <c r="AU35" s="131"/>
      <c r="AV35" s="132"/>
      <c r="AW35" s="134"/>
      <c r="AX35" s="131"/>
      <c r="AY35" s="131"/>
      <c r="AZ35" s="132"/>
      <c r="BA35" s="134"/>
      <c r="BB35" s="131"/>
      <c r="BC35" s="131"/>
      <c r="BD35" s="132"/>
      <c r="BE35" s="134"/>
      <c r="BF35" s="136"/>
      <c r="BG35" s="136"/>
      <c r="BH35" s="131"/>
      <c r="BI35" s="132"/>
      <c r="BJ35" s="133"/>
      <c r="BK35" s="135"/>
      <c r="BL35" s="131"/>
      <c r="BM35" s="136"/>
      <c r="BN35" s="134"/>
      <c r="BO35" s="131"/>
      <c r="BP35" s="131"/>
      <c r="BQ35" s="132"/>
      <c r="BR35" s="133"/>
      <c r="BS35" s="131"/>
      <c r="BT35" s="131"/>
      <c r="BU35" s="131"/>
      <c r="BV35" s="136"/>
      <c r="BW35" s="134"/>
      <c r="BX35" s="131"/>
      <c r="BY35" s="131"/>
      <c r="BZ35" s="132"/>
      <c r="CA35" s="133"/>
      <c r="CB35" s="131"/>
      <c r="CC35" s="131"/>
      <c r="CD35" s="132"/>
      <c r="CE35" s="137"/>
      <c r="CF35" s="133"/>
      <c r="CG35" s="138"/>
      <c r="CH35" s="138"/>
      <c r="CI35" s="139"/>
      <c r="CJ35" s="134"/>
      <c r="CK35" s="138"/>
      <c r="CL35" s="138"/>
      <c r="CM35" s="140"/>
      <c r="CR35" s="124"/>
      <c r="CV35" s="125"/>
      <c r="CW35" s="124"/>
      <c r="CZ35" s="126"/>
      <c r="DA35" s="124"/>
      <c r="DC35" s="193"/>
      <c r="DE35" s="124"/>
      <c r="DJ35" s="124"/>
      <c r="DK35" s="125"/>
      <c r="DM35" s="126"/>
      <c r="DN35" s="124"/>
      <c r="DS35" s="124"/>
      <c r="EA35" s="124"/>
      <c r="EE35" s="125"/>
      <c r="EF35" s="124"/>
      <c r="EJ35" s="124"/>
      <c r="EN35" s="124"/>
      <c r="ER35" s="126"/>
      <c r="EV35" s="125"/>
      <c r="EW35" s="124"/>
      <c r="EZ35" s="126"/>
      <c r="FF35" s="124"/>
      <c r="FI35" s="126"/>
      <c r="FK35" s="125"/>
      <c r="FN35" s="124"/>
      <c r="FR35" s="126"/>
      <c r="FW35" s="124"/>
      <c r="FZ35" s="126"/>
      <c r="GA35" s="124"/>
      <c r="GE35" s="141"/>
      <c r="GJ35" s="124"/>
      <c r="GM35" s="126"/>
      <c r="GS35" s="124"/>
      <c r="GV35" s="126"/>
      <c r="HA35" s="124"/>
      <c r="HE35" s="126"/>
      <c r="HJ35" s="124"/>
      <c r="HM35" s="126"/>
      <c r="HS35" s="124"/>
      <c r="HV35" s="126"/>
      <c r="IA35" s="124"/>
      <c r="IE35" s="125"/>
      <c r="IF35" s="124"/>
      <c r="II35" s="126"/>
      <c r="IN35" s="124"/>
      <c r="IR35" s="126"/>
      <c r="IW35" s="124"/>
      <c r="IZ35" s="126"/>
      <c r="JF35" s="124"/>
      <c r="JI35" s="126"/>
      <c r="JN35" s="124"/>
      <c r="JR35" s="126"/>
      <c r="JW35" s="124"/>
      <c r="JZ35" s="126"/>
      <c r="KD35" s="141"/>
      <c r="KE35" s="124"/>
      <c r="KH35" s="126"/>
    </row>
    <row r="36" spans="1:294" ht="21" customHeight="1">
      <c r="B36" s="127"/>
      <c r="C36" s="192"/>
      <c r="D36" s="129"/>
      <c r="E36" s="130"/>
      <c r="F36" s="131"/>
      <c r="G36" s="131"/>
      <c r="H36" s="131"/>
      <c r="I36" s="132"/>
      <c r="J36" s="133"/>
      <c r="K36" s="131"/>
      <c r="L36" s="131"/>
      <c r="M36" s="132"/>
      <c r="N36" s="134"/>
      <c r="O36" s="131"/>
      <c r="P36" s="131"/>
      <c r="Q36" s="132"/>
      <c r="R36" s="134"/>
      <c r="S36" s="131"/>
      <c r="T36" s="131"/>
      <c r="U36" s="132"/>
      <c r="V36" s="130"/>
      <c r="W36" s="131"/>
      <c r="X36" s="131"/>
      <c r="Y36" s="131"/>
      <c r="Z36" s="132"/>
      <c r="AA36" s="134"/>
      <c r="AB36" s="131"/>
      <c r="AC36" s="131"/>
      <c r="AD36" s="132"/>
      <c r="AE36" s="134"/>
      <c r="AF36" s="131"/>
      <c r="AG36" s="131"/>
      <c r="AH36" s="132"/>
      <c r="AI36" s="134"/>
      <c r="AJ36" s="131"/>
      <c r="AK36" s="135"/>
      <c r="AL36" s="131"/>
      <c r="AM36" s="132"/>
      <c r="AN36" s="134"/>
      <c r="AO36" s="131"/>
      <c r="AP36" s="131"/>
      <c r="AQ36" s="132"/>
      <c r="AR36" s="134"/>
      <c r="AS36" s="131"/>
      <c r="AT36" s="131"/>
      <c r="AU36" s="131"/>
      <c r="AV36" s="132"/>
      <c r="AW36" s="134"/>
      <c r="AX36" s="131"/>
      <c r="AY36" s="131"/>
      <c r="AZ36" s="132"/>
      <c r="BA36" s="134"/>
      <c r="BB36" s="131"/>
      <c r="BC36" s="131"/>
      <c r="BD36" s="132"/>
      <c r="BE36" s="134"/>
      <c r="BF36" s="136"/>
      <c r="BG36" s="136"/>
      <c r="BH36" s="131"/>
      <c r="BI36" s="132"/>
      <c r="BJ36" s="133"/>
      <c r="BK36" s="135"/>
      <c r="BL36" s="131"/>
      <c r="BM36" s="136"/>
      <c r="BN36" s="134"/>
      <c r="BO36" s="131"/>
      <c r="BP36" s="131"/>
      <c r="BQ36" s="132"/>
      <c r="BR36" s="133"/>
      <c r="BS36" s="131"/>
      <c r="BT36" s="131"/>
      <c r="BU36" s="131"/>
      <c r="BV36" s="136"/>
      <c r="BW36" s="134"/>
      <c r="BX36" s="131"/>
      <c r="BY36" s="131"/>
      <c r="BZ36" s="132"/>
      <c r="CA36" s="133"/>
      <c r="CB36" s="131"/>
      <c r="CC36" s="131"/>
      <c r="CD36" s="132"/>
      <c r="CE36" s="137"/>
      <c r="CF36" s="133"/>
      <c r="CG36" s="138"/>
      <c r="CH36" s="138"/>
      <c r="CI36" s="139"/>
      <c r="CJ36" s="134"/>
      <c r="CK36" s="138"/>
      <c r="CL36" s="138"/>
      <c r="CM36" s="140"/>
      <c r="CR36" s="124"/>
      <c r="CV36" s="125"/>
      <c r="CW36" s="124"/>
      <c r="CZ36" s="126"/>
      <c r="DA36" s="124"/>
      <c r="DC36" s="193"/>
      <c r="DE36" s="124"/>
      <c r="DJ36" s="124"/>
      <c r="DK36" s="125"/>
      <c r="DM36" s="126"/>
      <c r="DN36" s="124"/>
      <c r="DS36" s="124"/>
      <c r="EA36" s="124"/>
      <c r="EE36" s="125"/>
      <c r="EF36" s="124"/>
      <c r="EJ36" s="124"/>
      <c r="EN36" s="124"/>
      <c r="ER36" s="126"/>
      <c r="EV36" s="125"/>
      <c r="EW36" s="124"/>
      <c r="EZ36" s="126"/>
      <c r="FF36" s="124"/>
      <c r="FI36" s="126"/>
      <c r="FK36" s="125"/>
      <c r="FN36" s="124"/>
      <c r="FR36" s="126"/>
      <c r="FW36" s="124"/>
      <c r="FZ36" s="126"/>
      <c r="GA36" s="124"/>
      <c r="GE36" s="141"/>
      <c r="GJ36" s="124"/>
      <c r="GM36" s="126"/>
      <c r="GS36" s="124"/>
      <c r="GV36" s="126"/>
      <c r="HA36" s="124"/>
      <c r="HE36" s="126"/>
      <c r="HJ36" s="124"/>
      <c r="HM36" s="126"/>
      <c r="HS36" s="124"/>
      <c r="HV36" s="126"/>
      <c r="IA36" s="124"/>
      <c r="IE36" s="125"/>
      <c r="IF36" s="124"/>
      <c r="II36" s="126"/>
      <c r="IN36" s="124"/>
      <c r="IR36" s="126"/>
      <c r="IW36" s="124"/>
      <c r="IZ36" s="126"/>
      <c r="JF36" s="124"/>
      <c r="JI36" s="126"/>
      <c r="JN36" s="124"/>
      <c r="JR36" s="126"/>
      <c r="JW36" s="124"/>
      <c r="JZ36" s="126"/>
      <c r="KD36" s="141"/>
      <c r="KE36" s="124"/>
      <c r="KH36" s="126"/>
    </row>
    <row r="37" spans="1:294" ht="21" customHeight="1">
      <c r="A37" s="198"/>
      <c r="B37" s="127"/>
      <c r="C37" s="192" t="s">
        <v>394</v>
      </c>
      <c r="D37" s="129"/>
      <c r="E37" s="130"/>
      <c r="F37" s="131"/>
      <c r="G37" s="131"/>
      <c r="H37" s="131"/>
      <c r="I37" s="132"/>
      <c r="J37" s="133"/>
      <c r="K37" s="131"/>
      <c r="L37" s="131"/>
      <c r="M37" s="132"/>
      <c r="N37" s="134"/>
      <c r="O37" s="131"/>
      <c r="P37" s="131"/>
      <c r="Q37" s="132"/>
      <c r="R37" s="134"/>
      <c r="S37" s="131"/>
      <c r="T37" s="131"/>
      <c r="U37" s="132"/>
      <c r="V37" s="130"/>
      <c r="W37" s="131"/>
      <c r="X37" s="131"/>
      <c r="Y37" s="131"/>
      <c r="Z37" s="132"/>
      <c r="AA37" s="134"/>
      <c r="AB37" s="131"/>
      <c r="AC37" s="131"/>
      <c r="AD37" s="132"/>
      <c r="AE37" s="134"/>
      <c r="AF37" s="131"/>
      <c r="AG37" s="131"/>
      <c r="AH37" s="132"/>
      <c r="AI37" s="134"/>
      <c r="AJ37" s="131"/>
      <c r="AK37" s="135"/>
      <c r="AL37" s="131"/>
      <c r="AM37" s="132"/>
      <c r="AN37" s="134"/>
      <c r="AO37" s="131"/>
      <c r="AP37" s="131"/>
      <c r="AQ37" s="132"/>
      <c r="AR37" s="134"/>
      <c r="AS37" s="131"/>
      <c r="AT37" s="131"/>
      <c r="AU37" s="131"/>
      <c r="AV37" s="132"/>
      <c r="AW37" s="134"/>
      <c r="AX37" s="131"/>
      <c r="AY37" s="131"/>
      <c r="AZ37" s="132"/>
      <c r="BA37" s="134"/>
      <c r="BB37" s="131"/>
      <c r="BC37" s="131"/>
      <c r="BD37" s="132"/>
      <c r="BE37" s="134"/>
      <c r="BF37" s="136"/>
      <c r="BG37" s="136"/>
      <c r="BH37" s="131"/>
      <c r="BI37" s="132"/>
      <c r="BJ37" s="133"/>
      <c r="BK37" s="135"/>
      <c r="BL37" s="131"/>
      <c r="BM37" s="136"/>
      <c r="BN37" s="134"/>
      <c r="BO37" s="131"/>
      <c r="BP37" s="131"/>
      <c r="BQ37" s="132"/>
      <c r="BR37" s="133"/>
      <c r="BS37" s="131"/>
      <c r="BT37" s="131"/>
      <c r="BU37" s="131"/>
      <c r="BV37" s="136"/>
      <c r="BW37" s="134"/>
      <c r="BX37" s="131"/>
      <c r="BY37" s="131"/>
      <c r="BZ37" s="132"/>
      <c r="CA37" s="133"/>
      <c r="CB37" s="131"/>
      <c r="CC37" s="131"/>
      <c r="CD37" s="132"/>
      <c r="CE37" s="137"/>
      <c r="CF37" s="133"/>
      <c r="CG37" s="138"/>
      <c r="CH37" s="138"/>
      <c r="CI37" s="139"/>
      <c r="CJ37" s="134"/>
      <c r="CK37" s="138"/>
      <c r="CL37" s="138"/>
      <c r="CM37" s="140"/>
      <c r="CR37" s="124"/>
      <c r="CV37" s="125"/>
      <c r="CW37" s="124"/>
      <c r="CZ37" s="126"/>
      <c r="DA37" s="124"/>
      <c r="DC37" s="193"/>
      <c r="DE37" s="124"/>
      <c r="DJ37" s="124"/>
      <c r="DK37" s="125"/>
      <c r="DM37" s="126"/>
      <c r="DN37" s="124"/>
      <c r="DS37" s="124"/>
      <c r="EA37" s="124"/>
      <c r="EE37" s="125"/>
      <c r="EF37" s="124"/>
      <c r="EJ37" s="124"/>
      <c r="EN37" s="124"/>
      <c r="ER37" s="126"/>
      <c r="EV37" s="125"/>
      <c r="EW37" s="124"/>
      <c r="EZ37" s="126"/>
      <c r="FF37" s="124"/>
      <c r="FI37" s="126"/>
      <c r="FK37" s="125"/>
      <c r="FN37" s="124"/>
      <c r="FR37" s="126"/>
      <c r="FW37" s="124"/>
      <c r="FX37" s="216"/>
      <c r="FY37" s="216"/>
      <c r="FZ37" s="126"/>
      <c r="GA37" s="124"/>
      <c r="GE37" s="141"/>
      <c r="GJ37" s="124"/>
      <c r="GM37" s="126"/>
      <c r="GS37" s="124"/>
      <c r="GV37" s="126"/>
      <c r="HA37" s="124"/>
      <c r="HE37" s="126"/>
      <c r="HJ37" s="124"/>
      <c r="HM37" s="126"/>
      <c r="HS37" s="124"/>
      <c r="HV37" s="126"/>
      <c r="IA37" s="124"/>
      <c r="IE37" s="125"/>
      <c r="IF37" s="124"/>
      <c r="II37" s="126"/>
      <c r="IN37" s="124"/>
      <c r="IR37" s="126"/>
      <c r="IW37" s="124"/>
      <c r="IZ37" s="126"/>
      <c r="JF37" s="124"/>
      <c r="JI37" s="126"/>
      <c r="JN37" s="124"/>
      <c r="JR37" s="126"/>
      <c r="JW37" s="124"/>
      <c r="JZ37" s="126"/>
      <c r="KD37" s="141"/>
      <c r="KE37" s="124"/>
      <c r="KH37" s="126"/>
    </row>
    <row r="38" spans="1:294" ht="21" customHeight="1">
      <c r="B38" s="127"/>
      <c r="C38" s="215"/>
      <c r="D38" s="199"/>
      <c r="E38" s="200"/>
      <c r="F38" s="201"/>
      <c r="G38" s="201"/>
      <c r="H38" s="201"/>
      <c r="I38" s="202"/>
      <c r="J38" s="203"/>
      <c r="K38" s="201"/>
      <c r="L38" s="201"/>
      <c r="M38" s="202"/>
      <c r="N38" s="204"/>
      <c r="O38" s="201"/>
      <c r="P38" s="201"/>
      <c r="Q38" s="202"/>
      <c r="R38" s="204"/>
      <c r="S38" s="201"/>
      <c r="T38" s="201"/>
      <c r="U38" s="202"/>
      <c r="V38" s="200"/>
      <c r="W38" s="201"/>
      <c r="X38" s="201"/>
      <c r="Y38" s="201"/>
      <c r="Z38" s="202"/>
      <c r="AA38" s="204"/>
      <c r="AB38" s="201"/>
      <c r="AC38" s="201"/>
      <c r="AD38" s="202"/>
      <c r="AE38" s="204"/>
      <c r="AF38" s="201"/>
      <c r="AG38" s="201"/>
      <c r="AH38" s="202"/>
      <c r="AI38" s="204"/>
      <c r="AJ38" s="201"/>
      <c r="AK38" s="205"/>
      <c r="AL38" s="201"/>
      <c r="AM38" s="202"/>
      <c r="AN38" s="204"/>
      <c r="AO38" s="201"/>
      <c r="AP38" s="201"/>
      <c r="AQ38" s="202"/>
      <c r="AR38" s="204"/>
      <c r="AS38" s="201"/>
      <c r="AT38" s="201"/>
      <c r="AU38" s="201"/>
      <c r="AV38" s="202"/>
      <c r="AW38" s="204"/>
      <c r="AX38" s="201"/>
      <c r="AY38" s="201"/>
      <c r="AZ38" s="202"/>
      <c r="BA38" s="204"/>
      <c r="BB38" s="201"/>
      <c r="BC38" s="201"/>
      <c r="BD38" s="202"/>
      <c r="BE38" s="204"/>
      <c r="BF38" s="206"/>
      <c r="BG38" s="206"/>
      <c r="BH38" s="201"/>
      <c r="BI38" s="202"/>
      <c r="BJ38" s="203"/>
      <c r="BK38" s="205"/>
      <c r="BL38" s="201"/>
      <c r="BM38" s="206"/>
      <c r="BN38" s="204"/>
      <c r="BO38" s="201"/>
      <c r="BP38" s="201"/>
      <c r="BQ38" s="202"/>
      <c r="BR38" s="203"/>
      <c r="BS38" s="201"/>
      <c r="BT38" s="201"/>
      <c r="BU38" s="201"/>
      <c r="BV38" s="206"/>
      <c r="BW38" s="204"/>
      <c r="BX38" s="201"/>
      <c r="BY38" s="201"/>
      <c r="BZ38" s="202"/>
      <c r="CA38" s="203"/>
      <c r="CB38" s="201"/>
      <c r="CC38" s="201"/>
      <c r="CD38" s="202"/>
      <c r="CE38" s="207"/>
      <c r="CF38" s="203"/>
      <c r="CG38" s="208"/>
      <c r="CH38" s="208"/>
      <c r="CI38" s="209"/>
      <c r="CJ38" s="204"/>
      <c r="CK38" s="208"/>
      <c r="CL38" s="208"/>
      <c r="CM38" s="210"/>
      <c r="CN38" s="195"/>
      <c r="CO38" s="195"/>
      <c r="CP38" s="195"/>
      <c r="CQ38" s="195"/>
      <c r="CR38" s="196"/>
      <c r="CS38" s="195"/>
      <c r="CT38" s="195"/>
      <c r="CU38" s="195"/>
      <c r="CV38" s="211"/>
      <c r="CW38" s="196"/>
      <c r="CX38" s="195"/>
      <c r="CY38" s="195"/>
      <c r="CZ38" s="197"/>
      <c r="DA38" s="196"/>
      <c r="DB38" s="195"/>
      <c r="DC38" s="212"/>
      <c r="DD38" s="195"/>
      <c r="DE38" s="196"/>
      <c r="DF38" s="195"/>
      <c r="DG38" s="195"/>
      <c r="DH38" s="195"/>
      <c r="DI38" s="195"/>
      <c r="DJ38" s="196"/>
      <c r="DK38" s="211"/>
      <c r="DL38" s="195"/>
      <c r="DM38" s="197"/>
      <c r="DN38" s="196"/>
      <c r="DO38" s="195"/>
      <c r="DP38" s="195"/>
      <c r="DQ38" s="195"/>
      <c r="DR38" s="195"/>
      <c r="DS38" s="196"/>
      <c r="DT38" s="195"/>
      <c r="DU38" s="195"/>
      <c r="DV38" s="195"/>
      <c r="DW38" s="195"/>
      <c r="DX38" s="195"/>
      <c r="DY38" s="195"/>
      <c r="DZ38" s="195"/>
      <c r="EA38" s="196"/>
      <c r="EB38" s="195"/>
      <c r="EC38" s="195"/>
      <c r="ED38" s="195"/>
      <c r="EE38" s="211"/>
      <c r="EF38" s="196"/>
      <c r="EG38" s="195"/>
      <c r="EH38" s="195"/>
      <c r="EI38" s="195"/>
      <c r="EJ38" s="196"/>
      <c r="EK38" s="195"/>
      <c r="EL38" s="195"/>
      <c r="EM38" s="195"/>
      <c r="EN38" s="196"/>
      <c r="EO38" s="195"/>
      <c r="EP38" s="195"/>
      <c r="EQ38" s="195"/>
      <c r="ER38" s="197"/>
      <c r="ES38" s="195"/>
      <c r="ET38" s="195"/>
      <c r="EU38" s="195"/>
      <c r="EV38" s="211"/>
      <c r="EW38" s="196"/>
      <c r="EX38" s="195"/>
      <c r="EY38" s="195"/>
      <c r="EZ38" s="197"/>
      <c r="FA38" s="195"/>
      <c r="FB38" s="195"/>
      <c r="FC38" s="195"/>
      <c r="FD38" s="195"/>
      <c r="FE38" s="195"/>
      <c r="FF38" s="196"/>
      <c r="FG38" s="195"/>
      <c r="FH38" s="195"/>
      <c r="FI38" s="197"/>
      <c r="FJ38" s="195"/>
      <c r="FK38" s="211"/>
      <c r="FL38" s="195"/>
      <c r="FM38" s="195"/>
      <c r="FN38" s="196"/>
      <c r="FO38" s="195"/>
      <c r="FP38" s="195"/>
      <c r="FQ38" s="195"/>
      <c r="FR38" s="197"/>
      <c r="FS38" s="195"/>
      <c r="FT38" s="195"/>
      <c r="FU38" s="195"/>
      <c r="FV38" s="195"/>
      <c r="FW38" s="196"/>
      <c r="FZ38" s="126"/>
      <c r="GA38" s="124"/>
      <c r="GE38" s="141"/>
      <c r="GJ38" s="124"/>
      <c r="GM38" s="126"/>
      <c r="GS38" s="124"/>
      <c r="GV38" s="126"/>
      <c r="HA38" s="124"/>
      <c r="HE38" s="126"/>
      <c r="HJ38" s="124"/>
      <c r="HM38" s="126"/>
      <c r="HS38" s="124"/>
      <c r="HV38" s="126"/>
      <c r="IA38" s="124"/>
      <c r="IE38" s="125"/>
      <c r="IF38" s="124"/>
      <c r="II38" s="126"/>
      <c r="IN38" s="124"/>
      <c r="IR38" s="126"/>
      <c r="IW38" s="124"/>
      <c r="IZ38" s="126"/>
      <c r="JF38" s="124"/>
      <c r="JI38" s="126"/>
      <c r="JN38" s="124"/>
      <c r="JR38" s="126"/>
      <c r="JW38" s="124"/>
      <c r="JZ38" s="126"/>
      <c r="KD38" s="141"/>
      <c r="KE38" s="124"/>
      <c r="KH38" s="126"/>
    </row>
    <row r="39" spans="1:294" ht="21" customHeight="1" thickBot="1">
      <c r="B39" s="127"/>
      <c r="C39" s="215"/>
      <c r="D39" s="129"/>
      <c r="E39" s="130"/>
      <c r="F39" s="131"/>
      <c r="G39" s="131"/>
      <c r="H39" s="131"/>
      <c r="I39" s="132"/>
      <c r="J39" s="133"/>
      <c r="K39" s="131"/>
      <c r="L39" s="131"/>
      <c r="M39" s="132"/>
      <c r="N39" s="134"/>
      <c r="O39" s="131"/>
      <c r="P39" s="131"/>
      <c r="Q39" s="132"/>
      <c r="R39" s="134"/>
      <c r="S39" s="131"/>
      <c r="T39" s="131"/>
      <c r="U39" s="132"/>
      <c r="V39" s="130"/>
      <c r="W39" s="131"/>
      <c r="X39" s="131"/>
      <c r="Y39" s="131"/>
      <c r="Z39" s="132"/>
      <c r="AA39" s="134"/>
      <c r="AB39" s="131"/>
      <c r="AC39" s="131"/>
      <c r="AD39" s="132"/>
      <c r="AE39" s="134"/>
      <c r="AF39" s="131"/>
      <c r="AG39" s="131"/>
      <c r="AH39" s="132"/>
      <c r="AI39" s="134"/>
      <c r="AJ39" s="131"/>
      <c r="AK39" s="135"/>
      <c r="AL39" s="131"/>
      <c r="AM39" s="132"/>
      <c r="AN39" s="134"/>
      <c r="AO39" s="131"/>
      <c r="AP39" s="131"/>
      <c r="AQ39" s="132"/>
      <c r="AR39" s="134"/>
      <c r="AS39" s="131"/>
      <c r="AT39" s="131"/>
      <c r="AU39" s="131"/>
      <c r="AV39" s="132"/>
      <c r="AW39" s="134"/>
      <c r="AX39" s="131"/>
      <c r="AY39" s="131"/>
      <c r="AZ39" s="132"/>
      <c r="BA39" s="134"/>
      <c r="BB39" s="131"/>
      <c r="BC39" s="131"/>
      <c r="BD39" s="132"/>
      <c r="BE39" s="134"/>
      <c r="BF39" s="136"/>
      <c r="BG39" s="136"/>
      <c r="BH39" s="131"/>
      <c r="BI39" s="132"/>
      <c r="BJ39" s="133"/>
      <c r="BK39" s="135"/>
      <c r="BL39" s="131"/>
      <c r="BM39" s="136"/>
      <c r="BN39" s="134"/>
      <c r="BO39" s="131"/>
      <c r="BP39" s="131"/>
      <c r="BQ39" s="132"/>
      <c r="BR39" s="133"/>
      <c r="BS39" s="131"/>
      <c r="BT39" s="131"/>
      <c r="BU39" s="131"/>
      <c r="BV39" s="136"/>
      <c r="BW39" s="134"/>
      <c r="BX39" s="131"/>
      <c r="BY39" s="131"/>
      <c r="BZ39" s="132"/>
      <c r="CA39" s="133"/>
      <c r="CB39" s="131"/>
      <c r="CC39" s="131"/>
      <c r="CD39" s="132"/>
      <c r="CE39" s="137"/>
      <c r="CF39" s="133"/>
      <c r="CG39" s="138"/>
      <c r="CH39" s="138"/>
      <c r="CI39" s="139"/>
      <c r="CJ39" s="134"/>
      <c r="CK39" s="138"/>
      <c r="CL39" s="138"/>
      <c r="CM39" s="140"/>
      <c r="CN39" s="145"/>
      <c r="CO39" s="145"/>
      <c r="CP39" s="145"/>
      <c r="CQ39" s="145"/>
      <c r="CR39" s="146"/>
      <c r="CS39" s="145"/>
      <c r="CT39" s="145"/>
      <c r="CU39" s="145"/>
      <c r="CV39" s="147"/>
      <c r="CW39" s="146"/>
      <c r="CX39" s="145"/>
      <c r="CY39" s="145"/>
      <c r="CZ39" s="148"/>
      <c r="DA39" s="146"/>
      <c r="DB39" s="145"/>
      <c r="DC39" s="176"/>
      <c r="DD39" s="145"/>
      <c r="DE39" s="146"/>
      <c r="DF39" s="145"/>
      <c r="DG39" s="145"/>
      <c r="DH39" s="145"/>
      <c r="DI39" s="145"/>
      <c r="DJ39" s="146"/>
      <c r="DK39" s="147"/>
      <c r="DL39" s="145"/>
      <c r="DM39" s="148"/>
      <c r="DN39" s="146"/>
      <c r="DO39" s="145"/>
      <c r="DP39" s="145"/>
      <c r="DQ39" s="145"/>
      <c r="DR39" s="145"/>
      <c r="DS39" s="146"/>
      <c r="DT39" s="145"/>
      <c r="DU39" s="145"/>
      <c r="DV39" s="145"/>
      <c r="DW39" s="145"/>
      <c r="DX39" s="145"/>
      <c r="DY39" s="145"/>
      <c r="DZ39" s="145"/>
      <c r="EA39" s="146"/>
      <c r="EB39" s="145"/>
      <c r="EC39" s="145"/>
      <c r="ED39" s="145"/>
      <c r="EE39" s="147"/>
      <c r="EF39" s="146"/>
      <c r="EG39" s="145"/>
      <c r="EH39" s="145"/>
      <c r="EI39" s="145"/>
      <c r="EJ39" s="146"/>
      <c r="EK39" s="145"/>
      <c r="EL39" s="145"/>
      <c r="EM39" s="145"/>
      <c r="EN39" s="146"/>
      <c r="EO39" s="145"/>
      <c r="EP39" s="145"/>
      <c r="EQ39" s="145"/>
      <c r="ER39" s="148"/>
      <c r="ES39" s="145"/>
      <c r="ET39" s="145"/>
      <c r="EU39" s="145"/>
      <c r="EV39" s="147"/>
      <c r="EW39" s="146"/>
      <c r="EX39" s="145"/>
      <c r="EY39" s="145"/>
      <c r="EZ39" s="148"/>
      <c r="FA39" s="145"/>
      <c r="FB39" s="145"/>
      <c r="FC39" s="145"/>
      <c r="FD39" s="145"/>
      <c r="FE39" s="145"/>
      <c r="FF39" s="146"/>
      <c r="FG39" s="145"/>
      <c r="FH39" s="145"/>
      <c r="FI39" s="148"/>
      <c r="FJ39" s="145"/>
      <c r="FK39" s="147"/>
      <c r="FL39" s="145"/>
      <c r="FM39" s="145"/>
      <c r="FN39" s="146"/>
      <c r="FO39" s="145"/>
      <c r="FP39" s="145"/>
      <c r="FQ39" s="145"/>
      <c r="FR39" s="148"/>
      <c r="FS39" s="145"/>
      <c r="FT39" s="145"/>
      <c r="FU39" s="145"/>
      <c r="FV39" s="145"/>
      <c r="FW39" s="146"/>
      <c r="FX39" s="145"/>
      <c r="FY39" s="145" t="s">
        <v>390</v>
      </c>
      <c r="FZ39" s="148"/>
      <c r="GA39" s="146"/>
      <c r="GB39" s="145"/>
      <c r="GC39" s="145"/>
      <c r="GD39" s="145"/>
      <c r="GE39" s="149"/>
      <c r="GJ39" s="124"/>
      <c r="GM39" s="126"/>
      <c r="GO39" s="145"/>
      <c r="GP39" s="145"/>
      <c r="GQ39" s="145"/>
      <c r="GR39" s="145"/>
      <c r="GS39" s="146"/>
      <c r="GT39" s="145"/>
      <c r="GU39" s="145"/>
      <c r="GV39" s="148"/>
      <c r="GW39" s="145"/>
      <c r="GX39" s="145"/>
      <c r="GY39" s="145"/>
      <c r="GZ39" s="145"/>
      <c r="HA39" s="146"/>
      <c r="HB39" s="145"/>
      <c r="HC39" s="145"/>
      <c r="HD39" s="145"/>
      <c r="HE39" s="148"/>
      <c r="HF39" s="145"/>
      <c r="HG39" s="145"/>
      <c r="HH39" s="145"/>
      <c r="HI39" s="145"/>
      <c r="HJ39" s="146"/>
      <c r="HK39" s="145"/>
      <c r="HL39" s="145"/>
      <c r="HM39" s="148"/>
      <c r="HN39" s="145"/>
      <c r="HO39" s="145"/>
      <c r="HP39" s="145"/>
      <c r="HQ39" s="145"/>
      <c r="HR39" s="145"/>
      <c r="HS39" s="146"/>
      <c r="HT39" s="145"/>
      <c r="HU39" s="145"/>
      <c r="HV39" s="148"/>
      <c r="HW39" s="145"/>
      <c r="HX39" s="145"/>
      <c r="HY39" s="145"/>
      <c r="HZ39" s="145"/>
      <c r="IA39" s="146"/>
      <c r="IB39" s="145"/>
      <c r="IC39" s="145"/>
      <c r="ID39" s="145"/>
      <c r="IE39" s="147"/>
      <c r="IF39" s="146"/>
      <c r="IG39" s="145"/>
      <c r="IH39" s="145"/>
      <c r="II39" s="148"/>
      <c r="IJ39" s="145"/>
      <c r="IK39" s="145"/>
      <c r="IL39" s="145"/>
      <c r="IM39" s="145"/>
      <c r="IN39" s="146"/>
      <c r="IO39" s="145"/>
      <c r="IP39" s="145"/>
      <c r="IQ39" s="145"/>
      <c r="IR39" s="148"/>
      <c r="IS39" s="145"/>
      <c r="IT39" s="145"/>
      <c r="IU39" s="145"/>
      <c r="IV39" s="145"/>
      <c r="IW39" s="146"/>
      <c r="IX39" s="145"/>
      <c r="IY39" s="145"/>
      <c r="IZ39" s="148"/>
      <c r="JA39" s="145"/>
      <c r="JB39" s="145"/>
      <c r="JC39" s="145"/>
      <c r="JD39" s="145"/>
      <c r="JE39" s="145"/>
      <c r="JF39" s="146"/>
      <c r="JG39" s="145"/>
      <c r="JH39" s="145"/>
      <c r="JI39" s="148"/>
      <c r="JJ39" s="145"/>
      <c r="JK39" s="145"/>
      <c r="JL39" s="145"/>
      <c r="JM39" s="145"/>
      <c r="JN39" s="146"/>
      <c r="JO39" s="145"/>
      <c r="JP39" s="145"/>
      <c r="JQ39" s="145"/>
      <c r="JR39" s="148"/>
      <c r="JS39" s="145"/>
      <c r="JT39" s="145"/>
      <c r="JU39" s="145"/>
      <c r="JV39" s="145"/>
      <c r="JW39" s="146"/>
      <c r="JX39" s="145"/>
      <c r="JY39" s="145"/>
      <c r="JZ39" s="148"/>
      <c r="KA39" s="145"/>
      <c r="KB39" s="145"/>
      <c r="KC39" s="145"/>
      <c r="KD39" s="149"/>
      <c r="KE39" s="146"/>
      <c r="KF39" s="145"/>
      <c r="KG39" s="145"/>
      <c r="KH39" s="148"/>
    </row>
    <row r="40" spans="1:294" ht="21" customHeight="1" thickTop="1">
      <c r="B40" s="127"/>
      <c r="C40" s="178"/>
      <c r="D40" s="179"/>
      <c r="E40" s="180"/>
      <c r="F40" s="181"/>
      <c r="G40" s="181"/>
      <c r="H40" s="181"/>
      <c r="I40" s="182"/>
      <c r="J40" s="183"/>
      <c r="K40" s="181"/>
      <c r="L40" s="181"/>
      <c r="M40" s="182"/>
      <c r="N40" s="184"/>
      <c r="O40" s="181"/>
      <c r="P40" s="181"/>
      <c r="Q40" s="182"/>
      <c r="R40" s="184"/>
      <c r="S40" s="181"/>
      <c r="T40" s="181"/>
      <c r="U40" s="182"/>
      <c r="V40" s="180"/>
      <c r="W40" s="181"/>
      <c r="X40" s="181"/>
      <c r="Y40" s="181"/>
      <c r="Z40" s="182"/>
      <c r="AA40" s="184"/>
      <c r="AB40" s="181"/>
      <c r="AC40" s="181"/>
      <c r="AD40" s="182"/>
      <c r="AE40" s="184"/>
      <c r="AF40" s="181"/>
      <c r="AG40" s="181"/>
      <c r="AH40" s="182"/>
      <c r="AI40" s="184"/>
      <c r="AJ40" s="181"/>
      <c r="AK40" s="185"/>
      <c r="AL40" s="181"/>
      <c r="AM40" s="182"/>
      <c r="AN40" s="184"/>
      <c r="AO40" s="181"/>
      <c r="AP40" s="181"/>
      <c r="AQ40" s="182"/>
      <c r="AR40" s="184"/>
      <c r="AS40" s="181"/>
      <c r="AT40" s="181"/>
      <c r="AU40" s="181"/>
      <c r="AV40" s="182"/>
      <c r="AW40" s="184"/>
      <c r="AX40" s="181"/>
      <c r="AY40" s="181"/>
      <c r="AZ40" s="182"/>
      <c r="BA40" s="184"/>
      <c r="BB40" s="181"/>
      <c r="BC40" s="181"/>
      <c r="BD40" s="182"/>
      <c r="BE40" s="184"/>
      <c r="BF40" s="186"/>
      <c r="BG40" s="186"/>
      <c r="BH40" s="181"/>
      <c r="BI40" s="182"/>
      <c r="BJ40" s="183"/>
      <c r="BK40" s="185"/>
      <c r="BL40" s="181"/>
      <c r="BM40" s="186"/>
      <c r="BN40" s="184"/>
      <c r="BO40" s="181"/>
      <c r="BP40" s="181"/>
      <c r="BQ40" s="182"/>
      <c r="BR40" s="183"/>
      <c r="BS40" s="181"/>
      <c r="BT40" s="181"/>
      <c r="BU40" s="181"/>
      <c r="BV40" s="186"/>
      <c r="BW40" s="184"/>
      <c r="BX40" s="181"/>
      <c r="BY40" s="181"/>
      <c r="BZ40" s="182"/>
      <c r="CA40" s="183"/>
      <c r="CB40" s="181"/>
      <c r="CC40" s="181"/>
      <c r="CD40" s="182"/>
      <c r="CE40" s="187"/>
      <c r="CF40" s="183"/>
      <c r="CG40" s="188"/>
      <c r="CH40" s="188"/>
      <c r="CI40" s="189"/>
      <c r="CJ40" s="184"/>
      <c r="CK40" s="188"/>
      <c r="CL40" s="188"/>
      <c r="CM40" s="190"/>
      <c r="CN40" s="151"/>
      <c r="CO40" s="151"/>
      <c r="CP40" s="151"/>
      <c r="CQ40" s="151"/>
      <c r="CR40" s="150"/>
      <c r="CS40" s="151"/>
      <c r="CT40" s="151"/>
      <c r="CU40" s="151"/>
      <c r="CV40" s="152"/>
      <c r="CW40" s="150"/>
      <c r="CX40" s="151"/>
      <c r="CY40" s="151"/>
      <c r="CZ40" s="154"/>
      <c r="DA40" s="150"/>
      <c r="DB40" s="151"/>
      <c r="DC40" s="191"/>
      <c r="DD40" s="151"/>
      <c r="DE40" s="150"/>
      <c r="DF40" s="151"/>
      <c r="DG40" s="151"/>
      <c r="DH40" s="151"/>
      <c r="DI40" s="151"/>
      <c r="DJ40" s="150"/>
      <c r="DK40" s="152"/>
      <c r="DL40" s="151"/>
      <c r="DM40" s="154"/>
      <c r="DN40" s="150"/>
      <c r="DO40" s="151"/>
      <c r="DP40" s="151"/>
      <c r="DQ40" s="151"/>
      <c r="DR40" s="151"/>
      <c r="DS40" s="150"/>
      <c r="DT40" s="151"/>
      <c r="DU40" s="151"/>
      <c r="DV40" s="151"/>
      <c r="DW40" s="151"/>
      <c r="DX40" s="151"/>
      <c r="DY40" s="151"/>
      <c r="DZ40" s="151"/>
      <c r="EA40" s="150"/>
      <c r="EB40" s="151"/>
      <c r="EC40" s="151"/>
      <c r="ED40" s="151"/>
      <c r="EE40" s="152"/>
      <c r="EF40" s="150"/>
      <c r="EG40" s="151"/>
      <c r="EH40" s="151"/>
      <c r="EI40" s="151"/>
      <c r="EJ40" s="150"/>
      <c r="EK40" s="151"/>
      <c r="EL40" s="151"/>
      <c r="EM40" s="151"/>
      <c r="EN40" s="150"/>
      <c r="EO40" s="151"/>
      <c r="EP40" s="151"/>
      <c r="EQ40" s="151"/>
      <c r="ER40" s="154"/>
      <c r="ES40" s="151"/>
      <c r="ET40" s="151"/>
      <c r="EU40" s="151"/>
      <c r="EV40" s="152"/>
      <c r="EW40" s="150"/>
      <c r="EX40" s="151"/>
      <c r="EY40" s="151"/>
      <c r="EZ40" s="154"/>
      <c r="FA40" s="151"/>
      <c r="FB40" s="151"/>
      <c r="FC40" s="151"/>
      <c r="FD40" s="151"/>
      <c r="FE40" s="151"/>
      <c r="FF40" s="150"/>
      <c r="FG40" s="151"/>
      <c r="FH40" s="151"/>
      <c r="FI40" s="154"/>
      <c r="FJ40" s="151"/>
      <c r="FK40" s="152"/>
      <c r="FL40" s="151"/>
      <c r="FM40" s="151"/>
      <c r="FN40" s="150"/>
      <c r="FO40" s="151"/>
      <c r="FP40" s="151"/>
      <c r="FQ40" s="151"/>
      <c r="FR40" s="154"/>
      <c r="FS40" s="151"/>
      <c r="FT40" s="151"/>
      <c r="FU40" s="151"/>
      <c r="FV40" s="151"/>
      <c r="FW40" s="150"/>
      <c r="FX40" s="151"/>
      <c r="FY40" s="151"/>
      <c r="FZ40" s="154"/>
      <c r="GA40" s="150"/>
      <c r="GB40" s="151"/>
      <c r="GC40" s="151"/>
      <c r="GD40" s="151"/>
      <c r="GE40" s="156"/>
      <c r="GF40" s="151"/>
      <c r="GG40" s="151"/>
      <c r="GH40" s="151"/>
      <c r="GI40" s="151"/>
      <c r="GJ40" s="150"/>
      <c r="GK40" s="151"/>
      <c r="GL40" s="151"/>
      <c r="GM40" s="154"/>
      <c r="GN40" s="151"/>
      <c r="GS40" s="124"/>
      <c r="GV40" s="126"/>
      <c r="HA40" s="124"/>
      <c r="HE40" s="126"/>
      <c r="HJ40" s="124"/>
      <c r="HM40" s="126"/>
      <c r="HS40" s="124"/>
      <c r="HV40" s="126"/>
      <c r="IA40" s="124"/>
      <c r="IE40" s="125"/>
      <c r="IF40" s="124"/>
      <c r="II40" s="126"/>
      <c r="IN40" s="124"/>
      <c r="IR40" s="126"/>
      <c r="IW40" s="124"/>
      <c r="IZ40" s="126"/>
      <c r="JF40" s="124"/>
      <c r="JI40" s="126"/>
      <c r="JN40" s="150"/>
      <c r="JO40" s="151"/>
      <c r="JP40" s="151"/>
      <c r="JQ40" s="151"/>
      <c r="JR40" s="154"/>
      <c r="JS40" s="151"/>
      <c r="JT40" s="151"/>
      <c r="JU40" s="151"/>
      <c r="JV40" s="151"/>
      <c r="JW40" s="150"/>
      <c r="JX40" s="151"/>
      <c r="JY40" s="151"/>
      <c r="JZ40" s="154"/>
      <c r="KA40" s="151"/>
      <c r="KB40" s="151"/>
      <c r="KC40" s="151"/>
      <c r="KD40" s="156"/>
      <c r="KE40" s="150"/>
      <c r="KF40" s="151"/>
      <c r="KG40" s="151"/>
      <c r="KH40" s="154"/>
    </row>
    <row r="41" spans="1:294" ht="21" customHeight="1">
      <c r="B41" s="127"/>
      <c r="C41" s="320" t="s">
        <v>176</v>
      </c>
      <c r="D41" s="129"/>
      <c r="E41" s="130"/>
      <c r="F41" s="131"/>
      <c r="G41" s="131"/>
      <c r="H41" s="131"/>
      <c r="I41" s="132"/>
      <c r="J41" s="133"/>
      <c r="K41" s="131"/>
      <c r="L41" s="131"/>
      <c r="M41" s="132"/>
      <c r="N41" s="134"/>
      <c r="O41" s="131"/>
      <c r="P41" s="131"/>
      <c r="Q41" s="132"/>
      <c r="R41" s="134"/>
      <c r="S41" s="131"/>
      <c r="T41" s="131"/>
      <c r="U41" s="132"/>
      <c r="V41" s="130"/>
      <c r="W41" s="131"/>
      <c r="X41" s="131"/>
      <c r="Y41" s="131"/>
      <c r="Z41" s="132"/>
      <c r="AA41" s="134"/>
      <c r="AB41" s="131"/>
      <c r="AC41" s="131"/>
      <c r="AD41" s="132"/>
      <c r="AE41" s="134"/>
      <c r="AF41" s="131"/>
      <c r="AG41" s="131"/>
      <c r="AH41" s="132"/>
      <c r="AI41" s="134"/>
      <c r="AJ41" s="131"/>
      <c r="AK41" s="135"/>
      <c r="AL41" s="131"/>
      <c r="AM41" s="132"/>
      <c r="AN41" s="134"/>
      <c r="AO41" s="131"/>
      <c r="AP41" s="131"/>
      <c r="AQ41" s="132"/>
      <c r="AR41" s="134"/>
      <c r="AS41" s="131"/>
      <c r="AT41" s="131"/>
      <c r="AU41" s="131"/>
      <c r="AV41" s="132"/>
      <c r="AW41" s="134"/>
      <c r="AX41" s="131"/>
      <c r="AY41" s="131"/>
      <c r="AZ41" s="132"/>
      <c r="BA41" s="134"/>
      <c r="BB41" s="131"/>
      <c r="BC41" s="131"/>
      <c r="BD41" s="132"/>
      <c r="BE41" s="134"/>
      <c r="BF41" s="136"/>
      <c r="BG41" s="136"/>
      <c r="BH41" s="131"/>
      <c r="BI41" s="132"/>
      <c r="BJ41" s="133"/>
      <c r="BK41" s="135"/>
      <c r="BL41" s="131"/>
      <c r="BM41" s="136"/>
      <c r="BN41" s="134"/>
      <c r="BO41" s="131"/>
      <c r="BP41" s="131"/>
      <c r="BQ41" s="132"/>
      <c r="BR41" s="133"/>
      <c r="BS41" s="131"/>
      <c r="BT41" s="131"/>
      <c r="BU41" s="131"/>
      <c r="BV41" s="136"/>
      <c r="BW41" s="134"/>
      <c r="BX41" s="131"/>
      <c r="BY41" s="131"/>
      <c r="BZ41" s="132"/>
      <c r="CA41" s="133"/>
      <c r="CB41" s="131"/>
      <c r="CC41" s="131"/>
      <c r="CD41" s="132"/>
      <c r="CE41" s="137"/>
      <c r="CF41" s="133"/>
      <c r="CG41" s="138"/>
      <c r="CH41" s="138"/>
      <c r="CI41" s="139"/>
      <c r="CJ41" s="134"/>
      <c r="CK41" s="138"/>
      <c r="CL41" s="138"/>
      <c r="CM41" s="140"/>
      <c r="CR41" s="124"/>
      <c r="CV41" s="125"/>
      <c r="CW41" s="124"/>
      <c r="CZ41" s="126"/>
      <c r="DA41" s="124"/>
      <c r="DC41" s="193"/>
      <c r="DE41" s="124"/>
      <c r="DJ41" s="124"/>
      <c r="DK41" s="125"/>
      <c r="DM41" s="126"/>
      <c r="DN41" s="124"/>
      <c r="DS41" s="124"/>
      <c r="EA41" s="124"/>
      <c r="EE41" s="125"/>
      <c r="EF41" s="124"/>
      <c r="EJ41" s="124"/>
      <c r="EN41" s="124"/>
      <c r="ER41" s="126"/>
      <c r="EV41" s="125"/>
      <c r="EW41" s="124"/>
      <c r="EZ41" s="126"/>
      <c r="FF41" s="124"/>
      <c r="FI41" s="126"/>
      <c r="FK41" s="125"/>
      <c r="FN41" s="124"/>
      <c r="FR41" s="126"/>
      <c r="FW41" s="124"/>
      <c r="FZ41" s="126"/>
      <c r="GA41" s="124"/>
      <c r="GE41" s="141"/>
      <c r="GJ41" s="124"/>
      <c r="GM41" s="126"/>
      <c r="GS41" s="124"/>
      <c r="GV41" s="126"/>
      <c r="HA41" s="124"/>
      <c r="HE41" s="126"/>
      <c r="HJ41" s="124"/>
      <c r="HM41" s="126"/>
      <c r="HS41" s="124"/>
      <c r="HV41" s="126"/>
      <c r="IA41" s="124"/>
      <c r="IE41" s="125"/>
      <c r="IF41" s="124"/>
      <c r="II41" s="126"/>
      <c r="IN41" s="124"/>
      <c r="IR41" s="126"/>
      <c r="IW41" s="124"/>
      <c r="IZ41" s="126"/>
      <c r="JF41" s="124"/>
      <c r="JI41" s="126"/>
      <c r="JN41" s="124"/>
      <c r="JR41" s="126"/>
      <c r="JW41" s="124"/>
      <c r="JZ41" s="126"/>
      <c r="KD41" s="141"/>
      <c r="KE41" s="124"/>
      <c r="KH41" s="126"/>
    </row>
    <row r="42" spans="1:294" ht="21" customHeight="1">
      <c r="A42" s="198"/>
      <c r="B42" s="127"/>
      <c r="C42" s="192" t="s">
        <v>177</v>
      </c>
      <c r="D42" s="129"/>
      <c r="E42" s="130"/>
      <c r="F42" s="131"/>
      <c r="G42" s="131"/>
      <c r="H42" s="131"/>
      <c r="I42" s="132"/>
      <c r="J42" s="133"/>
      <c r="K42" s="131"/>
      <c r="L42" s="131"/>
      <c r="M42" s="132"/>
      <c r="N42" s="134"/>
      <c r="O42" s="131"/>
      <c r="P42" s="131"/>
      <c r="Q42" s="132"/>
      <c r="R42" s="134"/>
      <c r="S42" s="131"/>
      <c r="T42" s="131"/>
      <c r="U42" s="132"/>
      <c r="V42" s="130"/>
      <c r="W42" s="131"/>
      <c r="X42" s="131"/>
      <c r="Y42" s="131"/>
      <c r="Z42" s="132"/>
      <c r="AA42" s="134"/>
      <c r="AB42" s="131"/>
      <c r="AC42" s="131"/>
      <c r="AD42" s="132"/>
      <c r="AE42" s="134"/>
      <c r="AF42" s="131"/>
      <c r="AG42" s="131"/>
      <c r="AH42" s="132"/>
      <c r="AI42" s="134"/>
      <c r="AJ42" s="131"/>
      <c r="AK42" s="135"/>
      <c r="AL42" s="131"/>
      <c r="AM42" s="132"/>
      <c r="AN42" s="134"/>
      <c r="AO42" s="131"/>
      <c r="AP42" s="131"/>
      <c r="AQ42" s="132"/>
      <c r="AR42" s="134"/>
      <c r="AS42" s="131"/>
      <c r="AT42" s="131"/>
      <c r="AU42" s="131"/>
      <c r="AV42" s="132"/>
      <c r="AW42" s="134"/>
      <c r="AX42" s="131"/>
      <c r="AY42" s="131"/>
      <c r="AZ42" s="132"/>
      <c r="BA42" s="134"/>
      <c r="BB42" s="131"/>
      <c r="BC42" s="131"/>
      <c r="BD42" s="132"/>
      <c r="BE42" s="134"/>
      <c r="BF42" s="136"/>
      <c r="BG42" s="136"/>
      <c r="BH42" s="131"/>
      <c r="BI42" s="132"/>
      <c r="BJ42" s="133"/>
      <c r="BK42" s="135"/>
      <c r="BL42" s="131"/>
      <c r="BM42" s="136"/>
      <c r="BN42" s="134"/>
      <c r="BO42" s="131"/>
      <c r="BP42" s="131"/>
      <c r="BQ42" s="132"/>
      <c r="BR42" s="133"/>
      <c r="BS42" s="131"/>
      <c r="BT42" s="131"/>
      <c r="BU42" s="131"/>
      <c r="BV42" s="136"/>
      <c r="BW42" s="134"/>
      <c r="BX42" s="131"/>
      <c r="BY42" s="131"/>
      <c r="BZ42" s="132"/>
      <c r="CA42" s="133"/>
      <c r="CB42" s="131"/>
      <c r="CC42" s="131"/>
      <c r="CD42" s="132"/>
      <c r="CE42" s="137"/>
      <c r="CF42" s="133"/>
      <c r="CG42" s="138"/>
      <c r="CH42" s="138"/>
      <c r="CI42" s="139"/>
      <c r="CJ42" s="134"/>
      <c r="CK42" s="138"/>
      <c r="CL42" s="138"/>
      <c r="CM42" s="140"/>
      <c r="CR42" s="124"/>
      <c r="CV42" s="125"/>
      <c r="CW42" s="124"/>
      <c r="CZ42" s="126"/>
      <c r="DA42" s="124"/>
      <c r="DC42" s="193"/>
      <c r="DE42" s="124"/>
      <c r="DJ42" s="124"/>
      <c r="DK42" s="125"/>
      <c r="DM42" s="126"/>
      <c r="DN42" s="124"/>
      <c r="DS42" s="124"/>
      <c r="EA42" s="124"/>
      <c r="EE42" s="125"/>
      <c r="EF42" s="124"/>
      <c r="EJ42" s="124"/>
      <c r="EN42" s="124"/>
      <c r="ER42" s="126"/>
      <c r="EV42" s="125"/>
      <c r="EW42" s="124"/>
      <c r="EZ42" s="126"/>
      <c r="FF42" s="124"/>
      <c r="FI42" s="126"/>
      <c r="FK42" s="125"/>
      <c r="FN42" s="124"/>
      <c r="FR42" s="126"/>
      <c r="FW42" s="124"/>
      <c r="FZ42" s="126"/>
      <c r="GA42" s="124"/>
      <c r="GE42" s="141"/>
      <c r="GF42" s="217"/>
      <c r="GG42" s="216"/>
      <c r="GH42" s="216"/>
      <c r="GJ42" s="124"/>
      <c r="GM42" s="126"/>
      <c r="GS42" s="124"/>
      <c r="GV42" s="126"/>
      <c r="HA42" s="124"/>
      <c r="HE42" s="126"/>
      <c r="HJ42" s="124"/>
      <c r="HM42" s="126"/>
      <c r="HS42" s="124"/>
      <c r="HV42" s="126"/>
      <c r="IA42" s="124"/>
      <c r="IE42" s="125"/>
      <c r="IF42" s="124"/>
      <c r="II42" s="126"/>
      <c r="IJ42" s="124"/>
      <c r="IN42" s="124"/>
      <c r="IR42" s="126"/>
      <c r="IW42" s="124"/>
      <c r="IZ42" s="126"/>
      <c r="JF42" s="124"/>
      <c r="JI42" s="126"/>
      <c r="JN42" s="124"/>
      <c r="JR42" s="126"/>
      <c r="JW42" s="124"/>
      <c r="JZ42" s="126"/>
      <c r="KD42" s="141"/>
      <c r="KE42" s="124"/>
      <c r="KH42" s="126"/>
    </row>
    <row r="43" spans="1:294" ht="21" customHeight="1">
      <c r="B43" s="127"/>
      <c r="C43" s="215" t="s">
        <v>178</v>
      </c>
      <c r="D43" s="199"/>
      <c r="E43" s="200"/>
      <c r="F43" s="201"/>
      <c r="G43" s="201"/>
      <c r="H43" s="201"/>
      <c r="I43" s="202"/>
      <c r="J43" s="203"/>
      <c r="K43" s="201"/>
      <c r="L43" s="201"/>
      <c r="M43" s="202"/>
      <c r="N43" s="204"/>
      <c r="O43" s="201"/>
      <c r="P43" s="201"/>
      <c r="Q43" s="202"/>
      <c r="R43" s="204"/>
      <c r="S43" s="201"/>
      <c r="T43" s="201"/>
      <c r="U43" s="202"/>
      <c r="V43" s="200"/>
      <c r="W43" s="201"/>
      <c r="X43" s="201"/>
      <c r="Y43" s="201"/>
      <c r="Z43" s="202"/>
      <c r="AA43" s="204"/>
      <c r="AB43" s="201"/>
      <c r="AC43" s="201"/>
      <c r="AD43" s="202"/>
      <c r="AE43" s="204"/>
      <c r="AF43" s="201"/>
      <c r="AG43" s="201"/>
      <c r="AH43" s="202"/>
      <c r="AI43" s="204"/>
      <c r="AJ43" s="201"/>
      <c r="AK43" s="205"/>
      <c r="AL43" s="201"/>
      <c r="AM43" s="202"/>
      <c r="AN43" s="204"/>
      <c r="AO43" s="201"/>
      <c r="AP43" s="201"/>
      <c r="AQ43" s="202"/>
      <c r="AR43" s="204"/>
      <c r="AS43" s="201"/>
      <c r="AT43" s="201"/>
      <c r="AU43" s="201"/>
      <c r="AV43" s="202"/>
      <c r="AW43" s="204"/>
      <c r="AX43" s="201"/>
      <c r="AY43" s="201"/>
      <c r="AZ43" s="202"/>
      <c r="BA43" s="204"/>
      <c r="BB43" s="201"/>
      <c r="BC43" s="201"/>
      <c r="BD43" s="202"/>
      <c r="BE43" s="204"/>
      <c r="BF43" s="206"/>
      <c r="BG43" s="206"/>
      <c r="BH43" s="201"/>
      <c r="BI43" s="202"/>
      <c r="BJ43" s="203"/>
      <c r="BK43" s="205"/>
      <c r="BL43" s="201"/>
      <c r="BM43" s="206"/>
      <c r="BN43" s="204"/>
      <c r="BO43" s="201"/>
      <c r="BP43" s="201"/>
      <c r="BQ43" s="202"/>
      <c r="BR43" s="203"/>
      <c r="BS43" s="201"/>
      <c r="BT43" s="201"/>
      <c r="BU43" s="201"/>
      <c r="BV43" s="206"/>
      <c r="BW43" s="204"/>
      <c r="BX43" s="201"/>
      <c r="BY43" s="201"/>
      <c r="BZ43" s="202"/>
      <c r="CA43" s="203"/>
      <c r="CB43" s="201"/>
      <c r="CC43" s="201"/>
      <c r="CD43" s="202"/>
      <c r="CE43" s="207"/>
      <c r="CF43" s="203"/>
      <c r="CG43" s="208"/>
      <c r="CH43" s="208"/>
      <c r="CI43" s="209"/>
      <c r="CJ43" s="204"/>
      <c r="CK43" s="208"/>
      <c r="CL43" s="208"/>
      <c r="CM43" s="210"/>
      <c r="CN43" s="195"/>
      <c r="CO43" s="195"/>
      <c r="CP43" s="195"/>
      <c r="CQ43" s="195"/>
      <c r="CR43" s="196"/>
      <c r="CS43" s="195"/>
      <c r="CT43" s="195"/>
      <c r="CU43" s="195"/>
      <c r="CV43" s="211"/>
      <c r="CW43" s="196"/>
      <c r="CX43" s="195"/>
      <c r="CY43" s="195"/>
      <c r="CZ43" s="197"/>
      <c r="DA43" s="196"/>
      <c r="DB43" s="195"/>
      <c r="DC43" s="212"/>
      <c r="DD43" s="195"/>
      <c r="DE43" s="196"/>
      <c r="DF43" s="195"/>
      <c r="DG43" s="195"/>
      <c r="DH43" s="195"/>
      <c r="DI43" s="195"/>
      <c r="DJ43" s="196"/>
      <c r="DK43" s="211"/>
      <c r="DL43" s="195"/>
      <c r="DM43" s="197"/>
      <c r="DN43" s="196"/>
      <c r="DO43" s="195"/>
      <c r="DP43" s="195"/>
      <c r="DQ43" s="195"/>
      <c r="DR43" s="195"/>
      <c r="DS43" s="196"/>
      <c r="DT43" s="195"/>
      <c r="DU43" s="195"/>
      <c r="DV43" s="195"/>
      <c r="DW43" s="195"/>
      <c r="DX43" s="195"/>
      <c r="DY43" s="195"/>
      <c r="DZ43" s="195"/>
      <c r="EA43" s="196"/>
      <c r="EB43" s="195"/>
      <c r="EC43" s="195"/>
      <c r="ED43" s="195"/>
      <c r="EE43" s="211"/>
      <c r="EF43" s="196"/>
      <c r="EG43" s="195"/>
      <c r="EH43" s="195"/>
      <c r="EI43" s="195"/>
      <c r="EJ43" s="196"/>
      <c r="EK43" s="195"/>
      <c r="EL43" s="195"/>
      <c r="EM43" s="195"/>
      <c r="EN43" s="196"/>
      <c r="EO43" s="195"/>
      <c r="EP43" s="195"/>
      <c r="EQ43" s="195"/>
      <c r="ER43" s="197"/>
      <c r="ES43" s="195"/>
      <c r="ET43" s="195"/>
      <c r="EU43" s="195"/>
      <c r="EV43" s="211"/>
      <c r="EW43" s="196"/>
      <c r="EX43" s="195"/>
      <c r="EY43" s="195"/>
      <c r="EZ43" s="197"/>
      <c r="FA43" s="195"/>
      <c r="FB43" s="195"/>
      <c r="FC43" s="195"/>
      <c r="FD43" s="195"/>
      <c r="FE43" s="195"/>
      <c r="FF43" s="196"/>
      <c r="FG43" s="195"/>
      <c r="FH43" s="195"/>
      <c r="FI43" s="197"/>
      <c r="FJ43" s="195"/>
      <c r="FK43" s="211"/>
      <c r="FL43" s="195"/>
      <c r="FM43" s="195"/>
      <c r="FN43" s="196"/>
      <c r="FO43" s="195"/>
      <c r="FP43" s="195"/>
      <c r="FQ43" s="195"/>
      <c r="FR43" s="197"/>
      <c r="FS43" s="195"/>
      <c r="FT43" s="195"/>
      <c r="FU43" s="195"/>
      <c r="FV43" s="195"/>
      <c r="FW43" s="196"/>
      <c r="FX43" s="195"/>
      <c r="FY43" s="195"/>
      <c r="FZ43" s="197"/>
      <c r="GA43" s="196"/>
      <c r="GB43" s="195"/>
      <c r="GC43" s="195"/>
      <c r="GD43" s="195"/>
      <c r="GE43" s="213"/>
      <c r="GJ43" s="124"/>
      <c r="GM43" s="126"/>
      <c r="GS43" s="124"/>
      <c r="GV43" s="126"/>
      <c r="HA43" s="124"/>
      <c r="HE43" s="126"/>
      <c r="HJ43" s="124"/>
      <c r="HM43" s="126"/>
      <c r="HS43" s="124"/>
      <c r="HV43" s="126"/>
      <c r="IA43" s="124"/>
      <c r="IE43" s="125"/>
      <c r="IF43" s="124"/>
      <c r="II43" s="126"/>
      <c r="IJ43" s="124"/>
      <c r="IN43" s="124"/>
      <c r="IR43" s="126"/>
      <c r="IW43" s="124"/>
      <c r="IZ43" s="126"/>
      <c r="JF43" s="124"/>
      <c r="JI43" s="126"/>
      <c r="JN43" s="124"/>
      <c r="JR43" s="126"/>
      <c r="JW43" s="124"/>
      <c r="JZ43" s="126"/>
      <c r="KD43" s="141"/>
      <c r="KE43" s="124"/>
      <c r="KH43" s="126"/>
    </row>
    <row r="44" spans="1:294" ht="21" customHeight="1">
      <c r="B44" s="127"/>
      <c r="C44" s="215"/>
      <c r="D44" s="129"/>
      <c r="E44" s="130"/>
      <c r="F44" s="131"/>
      <c r="G44" s="131"/>
      <c r="H44" s="131"/>
      <c r="I44" s="132"/>
      <c r="J44" s="133"/>
      <c r="K44" s="131"/>
      <c r="L44" s="131"/>
      <c r="M44" s="132"/>
      <c r="N44" s="134"/>
      <c r="O44" s="131"/>
      <c r="P44" s="131"/>
      <c r="Q44" s="132"/>
      <c r="R44" s="134"/>
      <c r="S44" s="131"/>
      <c r="T44" s="131"/>
      <c r="U44" s="132"/>
      <c r="V44" s="130"/>
      <c r="W44" s="131"/>
      <c r="X44" s="131"/>
      <c r="Y44" s="131"/>
      <c r="Z44" s="132"/>
      <c r="AA44" s="134"/>
      <c r="AB44" s="131"/>
      <c r="AC44" s="131"/>
      <c r="AD44" s="132"/>
      <c r="AE44" s="134"/>
      <c r="AF44" s="131"/>
      <c r="AG44" s="131"/>
      <c r="AH44" s="132"/>
      <c r="AI44" s="134"/>
      <c r="AJ44" s="131"/>
      <c r="AK44" s="135"/>
      <c r="AL44" s="131"/>
      <c r="AM44" s="132"/>
      <c r="AN44" s="134"/>
      <c r="AO44" s="131"/>
      <c r="AP44" s="131"/>
      <c r="AQ44" s="132"/>
      <c r="AR44" s="134"/>
      <c r="AS44" s="131"/>
      <c r="AT44" s="131"/>
      <c r="AU44" s="131"/>
      <c r="AV44" s="132"/>
      <c r="AW44" s="134"/>
      <c r="AX44" s="131"/>
      <c r="AY44" s="131"/>
      <c r="AZ44" s="132"/>
      <c r="BA44" s="134"/>
      <c r="BB44" s="131"/>
      <c r="BC44" s="131"/>
      <c r="BD44" s="132"/>
      <c r="BE44" s="134"/>
      <c r="BF44" s="136"/>
      <c r="BG44" s="136"/>
      <c r="BH44" s="131"/>
      <c r="BI44" s="132"/>
      <c r="BJ44" s="133"/>
      <c r="BK44" s="135"/>
      <c r="BL44" s="131"/>
      <c r="BM44" s="136"/>
      <c r="BN44" s="134"/>
      <c r="BO44" s="131"/>
      <c r="BP44" s="131"/>
      <c r="BQ44" s="132"/>
      <c r="BR44" s="133"/>
      <c r="BS44" s="131"/>
      <c r="BT44" s="131"/>
      <c r="BU44" s="131"/>
      <c r="BV44" s="136"/>
      <c r="BW44" s="134"/>
      <c r="BX44" s="131"/>
      <c r="BY44" s="131"/>
      <c r="BZ44" s="132"/>
      <c r="CA44" s="133"/>
      <c r="CB44" s="131"/>
      <c r="CC44" s="131"/>
      <c r="CD44" s="132"/>
      <c r="CE44" s="137"/>
      <c r="CF44" s="133"/>
      <c r="CG44" s="138"/>
      <c r="CH44" s="138"/>
      <c r="CI44" s="139"/>
      <c r="CJ44" s="134"/>
      <c r="CK44" s="138"/>
      <c r="CL44" s="138"/>
      <c r="CM44" s="140"/>
      <c r="CR44" s="124"/>
      <c r="CV44" s="125"/>
      <c r="CW44" s="124"/>
      <c r="CZ44" s="126"/>
      <c r="DA44" s="124"/>
      <c r="DC44" s="193"/>
      <c r="DE44" s="124"/>
      <c r="DJ44" s="124"/>
      <c r="DK44" s="125"/>
      <c r="DM44" s="126"/>
      <c r="DN44" s="124"/>
      <c r="DS44" s="124"/>
      <c r="EA44" s="124"/>
      <c r="EE44" s="125"/>
      <c r="EF44" s="124"/>
      <c r="EJ44" s="124"/>
      <c r="EN44" s="124"/>
      <c r="ER44" s="126"/>
      <c r="EV44" s="125"/>
      <c r="EW44" s="124"/>
      <c r="EZ44" s="126"/>
      <c r="FF44" s="124"/>
      <c r="FI44" s="126"/>
      <c r="FK44" s="125"/>
      <c r="FN44" s="124"/>
      <c r="FR44" s="126"/>
      <c r="FW44" s="124"/>
      <c r="FZ44" s="126"/>
      <c r="GA44" s="124"/>
      <c r="GE44" s="141"/>
      <c r="GJ44" s="124"/>
      <c r="GM44" s="126"/>
      <c r="GS44" s="124"/>
      <c r="GV44" s="126"/>
      <c r="HA44" s="124"/>
      <c r="HE44" s="126"/>
      <c r="HJ44" s="124"/>
      <c r="HM44" s="126"/>
      <c r="HS44" s="124"/>
      <c r="HV44" s="126"/>
      <c r="IA44" s="124"/>
      <c r="IE44" s="125"/>
      <c r="IF44" s="124"/>
      <c r="II44" s="126"/>
      <c r="IN44" s="124"/>
      <c r="IR44" s="126"/>
      <c r="IW44" s="124"/>
      <c r="IZ44" s="126"/>
      <c r="JF44" s="124"/>
      <c r="JI44" s="126"/>
      <c r="JN44" s="124"/>
      <c r="JR44" s="126"/>
      <c r="JW44" s="124"/>
      <c r="JZ44" s="126"/>
      <c r="KD44" s="141"/>
      <c r="KE44" s="124"/>
      <c r="KH44" s="126"/>
    </row>
    <row r="45" spans="1:294" ht="21" customHeight="1">
      <c r="B45" s="127"/>
      <c r="C45" s="192"/>
      <c r="D45" s="129"/>
      <c r="E45" s="130"/>
      <c r="F45" s="131"/>
      <c r="G45" s="131"/>
      <c r="H45" s="131"/>
      <c r="I45" s="132"/>
      <c r="J45" s="133"/>
      <c r="K45" s="131"/>
      <c r="L45" s="131"/>
      <c r="M45" s="132"/>
      <c r="N45" s="134"/>
      <c r="O45" s="131"/>
      <c r="P45" s="131"/>
      <c r="Q45" s="132"/>
      <c r="R45" s="134"/>
      <c r="S45" s="131"/>
      <c r="T45" s="131"/>
      <c r="U45" s="132"/>
      <c r="V45" s="130"/>
      <c r="W45" s="131"/>
      <c r="X45" s="131"/>
      <c r="Y45" s="131"/>
      <c r="Z45" s="132"/>
      <c r="AA45" s="134"/>
      <c r="AB45" s="131"/>
      <c r="AC45" s="131"/>
      <c r="AD45" s="132"/>
      <c r="AE45" s="134"/>
      <c r="AF45" s="131"/>
      <c r="AG45" s="131"/>
      <c r="AH45" s="132"/>
      <c r="AI45" s="134"/>
      <c r="AJ45" s="131"/>
      <c r="AK45" s="135"/>
      <c r="AL45" s="131"/>
      <c r="AM45" s="132"/>
      <c r="AN45" s="134"/>
      <c r="AO45" s="131"/>
      <c r="AP45" s="131"/>
      <c r="AQ45" s="132"/>
      <c r="AR45" s="134"/>
      <c r="AS45" s="131"/>
      <c r="AT45" s="131"/>
      <c r="AU45" s="131"/>
      <c r="AV45" s="132"/>
      <c r="AW45" s="134"/>
      <c r="AX45" s="131"/>
      <c r="AY45" s="131"/>
      <c r="AZ45" s="132"/>
      <c r="BA45" s="134"/>
      <c r="BB45" s="131"/>
      <c r="BC45" s="131"/>
      <c r="BD45" s="132"/>
      <c r="BE45" s="134"/>
      <c r="BF45" s="136"/>
      <c r="BG45" s="136"/>
      <c r="BH45" s="131"/>
      <c r="BI45" s="132"/>
      <c r="BJ45" s="133"/>
      <c r="BK45" s="135"/>
      <c r="BL45" s="131"/>
      <c r="BM45" s="136"/>
      <c r="BN45" s="134"/>
      <c r="BO45" s="131"/>
      <c r="BP45" s="131"/>
      <c r="BQ45" s="132"/>
      <c r="BR45" s="133"/>
      <c r="BS45" s="131"/>
      <c r="BT45" s="131"/>
      <c r="BU45" s="131"/>
      <c r="BV45" s="136"/>
      <c r="BW45" s="134"/>
      <c r="BX45" s="131"/>
      <c r="BY45" s="131"/>
      <c r="BZ45" s="132"/>
      <c r="CA45" s="133"/>
      <c r="CB45" s="131"/>
      <c r="CC45" s="131"/>
      <c r="CD45" s="132"/>
      <c r="CE45" s="137"/>
      <c r="CF45" s="133"/>
      <c r="CG45" s="138"/>
      <c r="CH45" s="138"/>
      <c r="CI45" s="139"/>
      <c r="CJ45" s="134"/>
      <c r="CK45" s="138"/>
      <c r="CL45" s="138"/>
      <c r="CM45" s="140"/>
      <c r="CR45" s="124"/>
      <c r="CV45" s="125"/>
      <c r="CW45" s="124"/>
      <c r="CZ45" s="126"/>
      <c r="DA45" s="124"/>
      <c r="DC45" s="193"/>
      <c r="DE45" s="124"/>
      <c r="DJ45" s="124"/>
      <c r="DK45" s="125"/>
      <c r="DM45" s="126"/>
      <c r="DN45" s="124"/>
      <c r="DS45" s="124"/>
      <c r="EA45" s="124"/>
      <c r="EE45" s="125"/>
      <c r="EF45" s="124"/>
      <c r="EJ45" s="124"/>
      <c r="EN45" s="124"/>
      <c r="ER45" s="126"/>
      <c r="EV45" s="125"/>
      <c r="EW45" s="124"/>
      <c r="EZ45" s="126"/>
      <c r="FF45" s="124"/>
      <c r="FI45" s="126"/>
      <c r="FK45" s="125"/>
      <c r="FN45" s="124"/>
      <c r="FR45" s="126"/>
      <c r="FW45" s="124"/>
      <c r="FZ45" s="126"/>
      <c r="GA45" s="124"/>
      <c r="GE45" s="141"/>
      <c r="GJ45" s="124"/>
      <c r="GM45" s="126"/>
      <c r="GS45" s="124"/>
      <c r="GV45" s="126"/>
      <c r="HA45" s="124"/>
      <c r="HE45" s="126"/>
      <c r="HJ45" s="124"/>
      <c r="HM45" s="126"/>
      <c r="HS45" s="124"/>
      <c r="HV45" s="126"/>
      <c r="IA45" s="124"/>
      <c r="IE45" s="125"/>
      <c r="IF45" s="124"/>
      <c r="II45" s="126"/>
      <c r="IN45" s="124"/>
      <c r="IR45" s="126"/>
      <c r="IW45" s="124"/>
      <c r="IZ45" s="126"/>
      <c r="JF45" s="124"/>
      <c r="JI45" s="126"/>
      <c r="JN45" s="124"/>
      <c r="JR45" s="126"/>
      <c r="JW45" s="124"/>
      <c r="JZ45" s="126"/>
      <c r="KD45" s="141"/>
      <c r="KE45" s="124"/>
      <c r="KH45" s="126"/>
    </row>
    <row r="46" spans="1:294" ht="21" customHeight="1" thickBot="1">
      <c r="B46" s="127"/>
      <c r="C46" s="214"/>
      <c r="D46" s="158"/>
      <c r="E46" s="159"/>
      <c r="F46" s="160"/>
      <c r="G46" s="160"/>
      <c r="H46" s="160"/>
      <c r="I46" s="161"/>
      <c r="J46" s="162"/>
      <c r="K46" s="160"/>
      <c r="L46" s="160"/>
      <c r="M46" s="161"/>
      <c r="N46" s="163"/>
      <c r="O46" s="160"/>
      <c r="P46" s="160"/>
      <c r="Q46" s="161"/>
      <c r="R46" s="163"/>
      <c r="S46" s="160"/>
      <c r="T46" s="160"/>
      <c r="U46" s="161"/>
      <c r="V46" s="159"/>
      <c r="W46" s="160"/>
      <c r="X46" s="160"/>
      <c r="Y46" s="160"/>
      <c r="Z46" s="161"/>
      <c r="AA46" s="163"/>
      <c r="AB46" s="160"/>
      <c r="AC46" s="160"/>
      <c r="AD46" s="161"/>
      <c r="AE46" s="163"/>
      <c r="AF46" s="160"/>
      <c r="AG46" s="160"/>
      <c r="AH46" s="161"/>
      <c r="AI46" s="163"/>
      <c r="AJ46" s="160"/>
      <c r="AK46" s="164"/>
      <c r="AL46" s="160"/>
      <c r="AM46" s="161"/>
      <c r="AN46" s="163"/>
      <c r="AO46" s="160"/>
      <c r="AP46" s="160"/>
      <c r="AQ46" s="161"/>
      <c r="AR46" s="163"/>
      <c r="AS46" s="160"/>
      <c r="AT46" s="160"/>
      <c r="AU46" s="160"/>
      <c r="AV46" s="161"/>
      <c r="AW46" s="163"/>
      <c r="AX46" s="160"/>
      <c r="AY46" s="160"/>
      <c r="AZ46" s="161"/>
      <c r="BA46" s="163"/>
      <c r="BB46" s="160"/>
      <c r="BC46" s="160"/>
      <c r="BD46" s="161"/>
      <c r="BE46" s="163"/>
      <c r="BF46" s="165"/>
      <c r="BG46" s="165"/>
      <c r="BH46" s="160"/>
      <c r="BI46" s="161"/>
      <c r="BJ46" s="162"/>
      <c r="BK46" s="164"/>
      <c r="BL46" s="160"/>
      <c r="BM46" s="165"/>
      <c r="BN46" s="163"/>
      <c r="BO46" s="160"/>
      <c r="BP46" s="160"/>
      <c r="BQ46" s="161"/>
      <c r="BR46" s="162"/>
      <c r="BS46" s="160"/>
      <c r="BT46" s="160"/>
      <c r="BU46" s="160"/>
      <c r="BV46" s="165"/>
      <c r="BW46" s="163"/>
      <c r="BX46" s="160"/>
      <c r="BY46" s="160"/>
      <c r="BZ46" s="161"/>
      <c r="CA46" s="162"/>
      <c r="CB46" s="160"/>
      <c r="CC46" s="160"/>
      <c r="CD46" s="161"/>
      <c r="CE46" s="166"/>
      <c r="CF46" s="162"/>
      <c r="CG46" s="167"/>
      <c r="CH46" s="167"/>
      <c r="CI46" s="168"/>
      <c r="CJ46" s="163"/>
      <c r="CK46" s="167"/>
      <c r="CL46" s="167"/>
      <c r="CM46" s="169"/>
      <c r="CN46" s="145"/>
      <c r="CO46" s="145"/>
      <c r="CP46" s="145"/>
      <c r="CQ46" s="145"/>
      <c r="CR46" s="146"/>
      <c r="CS46" s="145"/>
      <c r="CT46" s="145"/>
      <c r="CU46" s="145"/>
      <c r="CV46" s="147"/>
      <c r="CW46" s="146"/>
      <c r="CX46" s="145"/>
      <c r="CY46" s="145"/>
      <c r="CZ46" s="148"/>
      <c r="DA46" s="146"/>
      <c r="DB46" s="145"/>
      <c r="DC46" s="176"/>
      <c r="DD46" s="145"/>
      <c r="DE46" s="146"/>
      <c r="DF46" s="145"/>
      <c r="DG46" s="145"/>
      <c r="DH46" s="145"/>
      <c r="DI46" s="145"/>
      <c r="DJ46" s="146"/>
      <c r="DK46" s="147"/>
      <c r="DL46" s="145"/>
      <c r="DM46" s="148"/>
      <c r="DN46" s="146"/>
      <c r="DO46" s="145"/>
      <c r="DP46" s="145"/>
      <c r="DQ46" s="145"/>
      <c r="DR46" s="145"/>
      <c r="DS46" s="146"/>
      <c r="DT46" s="145"/>
      <c r="DU46" s="145"/>
      <c r="DV46" s="145"/>
      <c r="DW46" s="145"/>
      <c r="DX46" s="145"/>
      <c r="DY46" s="145"/>
      <c r="DZ46" s="145"/>
      <c r="EA46" s="146"/>
      <c r="EB46" s="145"/>
      <c r="EC46" s="145"/>
      <c r="ED46" s="145"/>
      <c r="EE46" s="147"/>
      <c r="EF46" s="146"/>
      <c r="EG46" s="145"/>
      <c r="EH46" s="145"/>
      <c r="EI46" s="145"/>
      <c r="EJ46" s="146"/>
      <c r="EK46" s="145"/>
      <c r="EL46" s="145"/>
      <c r="EM46" s="145"/>
      <c r="EN46" s="146"/>
      <c r="EO46" s="145"/>
      <c r="EP46" s="145"/>
      <c r="EQ46" s="145"/>
      <c r="ER46" s="148"/>
      <c r="ES46" s="145"/>
      <c r="ET46" s="145"/>
      <c r="EU46" s="145"/>
      <c r="EV46" s="147"/>
      <c r="EW46" s="146"/>
      <c r="EX46" s="145"/>
      <c r="EY46" s="145"/>
      <c r="EZ46" s="148"/>
      <c r="FA46" s="145"/>
      <c r="FB46" s="145"/>
      <c r="FC46" s="145"/>
      <c r="FD46" s="145"/>
      <c r="FE46" s="145"/>
      <c r="FF46" s="146"/>
      <c r="FG46" s="145"/>
      <c r="FH46" s="145"/>
      <c r="FI46" s="148"/>
      <c r="FJ46" s="145"/>
      <c r="FK46" s="147"/>
      <c r="FL46" s="145"/>
      <c r="FM46" s="145"/>
      <c r="FN46" s="146"/>
      <c r="FO46" s="145"/>
      <c r="FP46" s="145"/>
      <c r="FQ46" s="145"/>
      <c r="FR46" s="148"/>
      <c r="FS46" s="145"/>
      <c r="FT46" s="145"/>
      <c r="FU46" s="145"/>
      <c r="FV46" s="145"/>
      <c r="FW46" s="146"/>
      <c r="FX46" s="145"/>
      <c r="FY46" s="145"/>
      <c r="FZ46" s="148"/>
      <c r="GA46" s="146"/>
      <c r="GB46" s="145"/>
      <c r="GC46" s="145"/>
      <c r="GD46" s="145"/>
      <c r="GE46" s="149"/>
      <c r="GF46" s="145"/>
      <c r="GG46" s="145"/>
      <c r="GH46" s="145"/>
      <c r="GI46" s="145"/>
      <c r="GJ46" s="146"/>
      <c r="GK46" s="145"/>
      <c r="GL46" s="145"/>
      <c r="GM46" s="148"/>
      <c r="GN46" s="145"/>
      <c r="GO46" s="145"/>
      <c r="GP46" s="145"/>
      <c r="GQ46" s="145"/>
      <c r="GR46" s="145"/>
      <c r="GS46" s="146"/>
      <c r="GT46" s="145"/>
      <c r="GU46" s="145"/>
      <c r="GV46" s="148"/>
      <c r="GW46" s="145"/>
      <c r="GX46" s="145"/>
      <c r="GY46" s="145"/>
      <c r="GZ46" s="145"/>
      <c r="HA46" s="146"/>
      <c r="HB46" s="145"/>
      <c r="HC46" s="145"/>
      <c r="HD46" s="145"/>
      <c r="HE46" s="148"/>
      <c r="HF46" s="145"/>
      <c r="HG46" s="145"/>
      <c r="HH46" s="145"/>
      <c r="HI46" s="145"/>
      <c r="HJ46" s="146"/>
      <c r="HK46" s="145"/>
      <c r="HL46" s="145"/>
      <c r="HM46" s="148"/>
      <c r="HN46" s="145"/>
      <c r="HO46" s="145"/>
      <c r="HP46" s="145"/>
      <c r="HQ46" s="145"/>
      <c r="HR46" s="145"/>
      <c r="HS46" s="146"/>
      <c r="HT46" s="145"/>
      <c r="HU46" s="145"/>
      <c r="HV46" s="148"/>
      <c r="HW46" s="145"/>
      <c r="HX46" s="145"/>
      <c r="HY46" s="145"/>
      <c r="HZ46" s="145"/>
      <c r="IA46" s="146"/>
      <c r="IB46" s="145"/>
      <c r="IC46" s="145"/>
      <c r="ID46" s="145"/>
      <c r="IE46" s="147"/>
      <c r="IF46" s="146"/>
      <c r="IG46" s="145"/>
      <c r="IH46" s="145"/>
      <c r="II46" s="148"/>
      <c r="IJ46" s="145"/>
      <c r="IK46" s="145"/>
      <c r="IL46" s="145"/>
      <c r="IM46" s="145"/>
      <c r="IN46" s="146"/>
      <c r="IO46" s="145"/>
      <c r="IP46" s="145"/>
      <c r="IQ46" s="145"/>
      <c r="IR46" s="148"/>
      <c r="IS46" s="145"/>
      <c r="IT46" s="145"/>
      <c r="IU46" s="145"/>
      <c r="IV46" s="145"/>
      <c r="IW46" s="146"/>
      <c r="IX46" s="145"/>
      <c r="IY46" s="145"/>
      <c r="IZ46" s="148"/>
      <c r="JA46" s="145"/>
      <c r="JB46" s="145"/>
      <c r="JC46" s="145"/>
      <c r="JD46" s="145"/>
      <c r="JE46" s="145"/>
      <c r="JF46" s="146"/>
      <c r="JG46" s="145"/>
      <c r="JH46" s="145"/>
      <c r="JI46" s="148"/>
      <c r="JJ46" s="145"/>
      <c r="JK46" s="145"/>
      <c r="JL46" s="145"/>
      <c r="JM46" s="145"/>
      <c r="JN46" s="146"/>
      <c r="JO46" s="145"/>
      <c r="JP46" s="145"/>
      <c r="JQ46" s="145"/>
      <c r="JR46" s="148"/>
      <c r="JS46" s="145"/>
      <c r="JT46" s="145"/>
      <c r="JU46" s="145"/>
      <c r="JV46" s="145"/>
      <c r="JW46" s="146"/>
      <c r="JX46" s="145"/>
      <c r="JY46" s="145"/>
      <c r="JZ46" s="148"/>
      <c r="KA46" s="145"/>
      <c r="KB46" s="145"/>
      <c r="KC46" s="145"/>
      <c r="KD46" s="149"/>
      <c r="KE46" s="146"/>
      <c r="KF46" s="145"/>
      <c r="KG46" s="145"/>
      <c r="KH46" s="148"/>
    </row>
    <row r="47" spans="1:294" ht="21" customHeight="1" thickTop="1">
      <c r="B47" s="127"/>
      <c r="C47" s="215"/>
      <c r="D47" s="129"/>
      <c r="E47" s="130"/>
      <c r="F47" s="131"/>
      <c r="G47" s="131"/>
      <c r="H47" s="131"/>
      <c r="I47" s="132"/>
      <c r="J47" s="133"/>
      <c r="K47" s="131"/>
      <c r="L47" s="131"/>
      <c r="M47" s="132"/>
      <c r="N47" s="134"/>
      <c r="O47" s="131"/>
      <c r="P47" s="131"/>
      <c r="Q47" s="132"/>
      <c r="R47" s="134"/>
      <c r="S47" s="131"/>
      <c r="T47" s="131"/>
      <c r="U47" s="132"/>
      <c r="V47" s="130"/>
      <c r="W47" s="131"/>
      <c r="X47" s="131"/>
      <c r="Y47" s="131"/>
      <c r="Z47" s="132"/>
      <c r="AA47" s="134"/>
      <c r="AB47" s="131"/>
      <c r="AC47" s="131"/>
      <c r="AD47" s="132"/>
      <c r="AE47" s="134"/>
      <c r="AF47" s="131"/>
      <c r="AG47" s="131"/>
      <c r="AH47" s="132"/>
      <c r="AI47" s="134"/>
      <c r="AJ47" s="131"/>
      <c r="AK47" s="135"/>
      <c r="AL47" s="131"/>
      <c r="AM47" s="132"/>
      <c r="AN47" s="134"/>
      <c r="AO47" s="131"/>
      <c r="AP47" s="131"/>
      <c r="AQ47" s="132"/>
      <c r="AR47" s="134"/>
      <c r="AS47" s="131"/>
      <c r="AT47" s="131"/>
      <c r="AU47" s="131"/>
      <c r="AV47" s="132"/>
      <c r="AW47" s="134"/>
      <c r="AX47" s="131"/>
      <c r="AY47" s="131"/>
      <c r="AZ47" s="132"/>
      <c r="BA47" s="134"/>
      <c r="BB47" s="131"/>
      <c r="BC47" s="131"/>
      <c r="BD47" s="132"/>
      <c r="BE47" s="134"/>
      <c r="BF47" s="136"/>
      <c r="BG47" s="136"/>
      <c r="BH47" s="131"/>
      <c r="BI47" s="132"/>
      <c r="BJ47" s="133"/>
      <c r="BK47" s="135"/>
      <c r="BL47" s="131"/>
      <c r="BM47" s="136"/>
      <c r="BN47" s="134"/>
      <c r="BO47" s="131"/>
      <c r="BP47" s="131"/>
      <c r="BQ47" s="132"/>
      <c r="BR47" s="133"/>
      <c r="BS47" s="131"/>
      <c r="BT47" s="131"/>
      <c r="BU47" s="131"/>
      <c r="BV47" s="136"/>
      <c r="BW47" s="134"/>
      <c r="BX47" s="131"/>
      <c r="BY47" s="131"/>
      <c r="BZ47" s="132"/>
      <c r="CA47" s="133"/>
      <c r="CB47" s="131"/>
      <c r="CC47" s="131"/>
      <c r="CD47" s="132"/>
      <c r="CE47" s="137"/>
      <c r="CF47" s="133"/>
      <c r="CG47" s="138"/>
      <c r="CH47" s="138"/>
      <c r="CI47" s="139"/>
      <c r="CJ47" s="134"/>
      <c r="CK47" s="138"/>
      <c r="CL47" s="138"/>
      <c r="CM47" s="140"/>
      <c r="CR47" s="124"/>
      <c r="CV47" s="125"/>
      <c r="CW47" s="124"/>
      <c r="CZ47" s="126"/>
      <c r="DA47" s="150"/>
      <c r="DB47" s="151"/>
      <c r="DC47" s="191"/>
      <c r="DD47" s="151"/>
      <c r="DE47" s="150"/>
      <c r="DF47" s="151"/>
      <c r="DG47" s="151"/>
      <c r="DH47" s="151"/>
      <c r="DI47" s="151"/>
      <c r="DJ47" s="150"/>
      <c r="DK47" s="152"/>
      <c r="DL47" s="151"/>
      <c r="DM47" s="154"/>
      <c r="DN47" s="150"/>
      <c r="DO47" s="151"/>
      <c r="DP47" s="151"/>
      <c r="DQ47" s="151"/>
      <c r="DR47" s="151"/>
      <c r="DS47" s="150"/>
      <c r="DT47" s="151"/>
      <c r="DU47" s="151"/>
      <c r="DV47" s="151"/>
      <c r="DW47" s="151"/>
      <c r="DX47" s="151"/>
      <c r="DY47" s="151"/>
      <c r="DZ47" s="151"/>
      <c r="EA47" s="150"/>
      <c r="EB47" s="151"/>
      <c r="EC47" s="151"/>
      <c r="ED47" s="151"/>
      <c r="EE47" s="152"/>
      <c r="EF47" s="150"/>
      <c r="EG47" s="151"/>
      <c r="EH47" s="151"/>
      <c r="EI47" s="151"/>
      <c r="EJ47" s="150"/>
      <c r="EK47" s="151"/>
      <c r="EL47" s="151"/>
      <c r="EM47" s="151"/>
      <c r="EN47" s="150"/>
      <c r="EO47" s="151"/>
      <c r="EP47" s="151"/>
      <c r="EQ47" s="151"/>
      <c r="ER47" s="154"/>
      <c r="ES47" s="151"/>
      <c r="ET47" s="151"/>
      <c r="EU47" s="151"/>
      <c r="EV47" s="152"/>
      <c r="EW47" s="150"/>
      <c r="EX47" s="151"/>
      <c r="EY47" s="151"/>
      <c r="EZ47" s="154"/>
      <c r="FA47" s="151"/>
      <c r="FB47" s="151"/>
      <c r="FC47" s="151"/>
      <c r="FD47" s="151"/>
      <c r="FE47" s="151"/>
      <c r="FF47" s="150"/>
      <c r="FG47" s="151"/>
      <c r="FH47" s="151"/>
      <c r="FI47" s="154"/>
      <c r="FJ47" s="151"/>
      <c r="FK47" s="152"/>
      <c r="FL47" s="151"/>
      <c r="FM47" s="151"/>
      <c r="FN47" s="150"/>
      <c r="FO47" s="151"/>
      <c r="FP47" s="151"/>
      <c r="FQ47" s="151"/>
      <c r="FR47" s="154"/>
      <c r="FS47" s="151"/>
      <c r="FT47" s="151"/>
      <c r="FU47" s="151"/>
      <c r="FV47" s="151"/>
      <c r="FW47" s="150"/>
      <c r="FX47" s="151"/>
      <c r="FY47" s="151"/>
      <c r="FZ47" s="154"/>
      <c r="GA47" s="150"/>
      <c r="GB47" s="151"/>
      <c r="GC47" s="151"/>
      <c r="GD47" s="151"/>
      <c r="GE47" s="156"/>
      <c r="GJ47" s="124"/>
      <c r="GM47" s="126"/>
      <c r="GS47" s="124"/>
      <c r="GV47" s="126"/>
      <c r="HA47" s="124"/>
      <c r="HE47" s="126"/>
      <c r="HJ47" s="124"/>
      <c r="HM47" s="126"/>
      <c r="HS47" s="124"/>
      <c r="HV47" s="126"/>
      <c r="IA47" s="124"/>
      <c r="IE47" s="125"/>
      <c r="IF47" s="124"/>
      <c r="II47" s="126"/>
      <c r="IN47" s="124"/>
      <c r="IR47" s="126"/>
      <c r="IW47" s="124"/>
      <c r="IZ47" s="126"/>
      <c r="JF47" s="124"/>
      <c r="JI47" s="126"/>
      <c r="JN47" s="124"/>
      <c r="JR47" s="126"/>
      <c r="JW47" s="150"/>
      <c r="JX47" s="151"/>
      <c r="JY47" s="151"/>
      <c r="JZ47" s="154"/>
      <c r="KA47" s="151"/>
      <c r="KB47" s="151"/>
      <c r="KC47" s="151"/>
      <c r="KD47" s="156"/>
      <c r="KE47" s="150"/>
      <c r="KF47" s="151"/>
      <c r="KG47" s="151"/>
      <c r="KH47" s="154"/>
    </row>
    <row r="48" spans="1:294" ht="21" customHeight="1">
      <c r="B48" s="127"/>
      <c r="C48" s="320" t="s">
        <v>164</v>
      </c>
      <c r="D48" s="129"/>
      <c r="E48" s="130"/>
      <c r="F48" s="131"/>
      <c r="G48" s="131"/>
      <c r="H48" s="131"/>
      <c r="I48" s="132"/>
      <c r="J48" s="133"/>
      <c r="K48" s="131"/>
      <c r="L48" s="131"/>
      <c r="M48" s="132"/>
      <c r="N48" s="134"/>
      <c r="O48" s="131"/>
      <c r="P48" s="131"/>
      <c r="Q48" s="132"/>
      <c r="R48" s="134"/>
      <c r="S48" s="131"/>
      <c r="T48" s="131"/>
      <c r="U48" s="132"/>
      <c r="V48" s="130"/>
      <c r="W48" s="131"/>
      <c r="X48" s="131"/>
      <c r="Y48" s="131"/>
      <c r="Z48" s="132"/>
      <c r="AA48" s="134"/>
      <c r="AB48" s="131"/>
      <c r="AC48" s="131"/>
      <c r="AD48" s="132"/>
      <c r="AE48" s="134"/>
      <c r="AF48" s="131"/>
      <c r="AG48" s="131"/>
      <c r="AH48" s="132"/>
      <c r="AI48" s="134"/>
      <c r="AJ48" s="131"/>
      <c r="AK48" s="135"/>
      <c r="AL48" s="131"/>
      <c r="AM48" s="132"/>
      <c r="AN48" s="134"/>
      <c r="AO48" s="131"/>
      <c r="AP48" s="131"/>
      <c r="AQ48" s="132"/>
      <c r="AR48" s="134"/>
      <c r="AS48" s="131"/>
      <c r="AT48" s="131"/>
      <c r="AU48" s="131"/>
      <c r="AV48" s="132"/>
      <c r="AW48" s="134"/>
      <c r="AX48" s="131"/>
      <c r="AY48" s="131"/>
      <c r="AZ48" s="132"/>
      <c r="BA48" s="134"/>
      <c r="BB48" s="131"/>
      <c r="BC48" s="131"/>
      <c r="BD48" s="132"/>
      <c r="BE48" s="134"/>
      <c r="BF48" s="136"/>
      <c r="BG48" s="136"/>
      <c r="BH48" s="131"/>
      <c r="BI48" s="132"/>
      <c r="BJ48" s="133"/>
      <c r="BK48" s="135"/>
      <c r="BL48" s="131"/>
      <c r="BM48" s="136"/>
      <c r="BN48" s="134"/>
      <c r="BO48" s="131"/>
      <c r="BP48" s="131"/>
      <c r="BQ48" s="132"/>
      <c r="BR48" s="133"/>
      <c r="BS48" s="131"/>
      <c r="BT48" s="131"/>
      <c r="BU48" s="131"/>
      <c r="BV48" s="136"/>
      <c r="BW48" s="134"/>
      <c r="BX48" s="131"/>
      <c r="BY48" s="131"/>
      <c r="BZ48" s="132"/>
      <c r="CA48" s="133"/>
      <c r="CB48" s="131"/>
      <c r="CC48" s="131"/>
      <c r="CD48" s="132"/>
      <c r="CE48" s="137"/>
      <c r="CF48" s="133"/>
      <c r="CG48" s="138"/>
      <c r="CH48" s="138"/>
      <c r="CI48" s="139"/>
      <c r="CJ48" s="134"/>
      <c r="CK48" s="138"/>
      <c r="CL48" s="138"/>
      <c r="CM48" s="140"/>
      <c r="CR48" s="124"/>
      <c r="CV48" s="125"/>
      <c r="CW48" s="124"/>
      <c r="CZ48" s="126"/>
      <c r="DA48" s="124"/>
      <c r="DC48" s="193"/>
      <c r="DE48" s="124"/>
      <c r="DJ48" s="124"/>
      <c r="DK48" s="125"/>
      <c r="DM48" s="126"/>
      <c r="DN48" s="124"/>
      <c r="DS48" s="124"/>
      <c r="EA48" s="124"/>
      <c r="EE48" s="125"/>
      <c r="EF48" s="124"/>
      <c r="EJ48" s="124"/>
      <c r="EN48" s="124"/>
      <c r="ER48" s="126"/>
      <c r="EV48" s="125"/>
      <c r="EW48" s="124"/>
      <c r="EZ48" s="126"/>
      <c r="FF48" s="124"/>
      <c r="FI48" s="126"/>
      <c r="FK48" s="125"/>
      <c r="FN48" s="124"/>
      <c r="FR48" s="126"/>
      <c r="FW48" s="124"/>
      <c r="FZ48" s="126"/>
      <c r="GA48" s="124"/>
      <c r="GE48" s="141"/>
      <c r="GJ48" s="124"/>
      <c r="GM48" s="126"/>
      <c r="GS48" s="124"/>
      <c r="GV48" s="126"/>
      <c r="HA48" s="124"/>
      <c r="HE48" s="126"/>
      <c r="HJ48" s="124"/>
      <c r="HM48" s="126"/>
      <c r="HS48" s="124"/>
      <c r="HV48" s="126"/>
      <c r="IA48" s="124"/>
      <c r="IE48" s="125"/>
      <c r="IF48" s="124"/>
      <c r="II48" s="126"/>
      <c r="IN48" s="124"/>
      <c r="IR48" s="126"/>
      <c r="IW48" s="124"/>
      <c r="IZ48" s="126"/>
      <c r="JF48" s="124"/>
      <c r="JI48" s="126"/>
      <c r="JN48" s="124"/>
      <c r="JR48" s="126"/>
      <c r="JW48" s="124"/>
      <c r="JZ48" s="126"/>
      <c r="KD48" s="141"/>
      <c r="KE48" s="124"/>
      <c r="KH48" s="126"/>
    </row>
    <row r="49" spans="1:294" ht="21" customHeight="1">
      <c r="A49" s="198"/>
      <c r="B49" s="127"/>
      <c r="C49" s="192" t="s">
        <v>179</v>
      </c>
      <c r="D49" s="129"/>
      <c r="E49" s="130"/>
      <c r="F49" s="131"/>
      <c r="G49" s="131"/>
      <c r="H49" s="131"/>
      <c r="I49" s="132"/>
      <c r="J49" s="133"/>
      <c r="K49" s="131"/>
      <c r="L49" s="131"/>
      <c r="M49" s="132"/>
      <c r="N49" s="134"/>
      <c r="O49" s="131"/>
      <c r="P49" s="131"/>
      <c r="Q49" s="132"/>
      <c r="R49" s="134"/>
      <c r="S49" s="131"/>
      <c r="T49" s="131"/>
      <c r="U49" s="132"/>
      <c r="V49" s="130"/>
      <c r="W49" s="131"/>
      <c r="X49" s="131"/>
      <c r="Y49" s="131"/>
      <c r="Z49" s="132"/>
      <c r="AA49" s="134"/>
      <c r="AB49" s="131"/>
      <c r="AC49" s="131"/>
      <c r="AD49" s="132"/>
      <c r="AE49" s="134"/>
      <c r="AF49" s="131"/>
      <c r="AG49" s="131"/>
      <c r="AH49" s="132"/>
      <c r="AI49" s="134"/>
      <c r="AJ49" s="131"/>
      <c r="AK49" s="135"/>
      <c r="AL49" s="131"/>
      <c r="AM49" s="132"/>
      <c r="AN49" s="134"/>
      <c r="AO49" s="131"/>
      <c r="AP49" s="131"/>
      <c r="AQ49" s="132"/>
      <c r="AR49" s="134"/>
      <c r="AS49" s="131"/>
      <c r="AT49" s="131"/>
      <c r="AU49" s="131"/>
      <c r="AV49" s="132"/>
      <c r="AW49" s="134"/>
      <c r="AX49" s="131"/>
      <c r="AY49" s="131"/>
      <c r="AZ49" s="132"/>
      <c r="BA49" s="134"/>
      <c r="BB49" s="131"/>
      <c r="BC49" s="131"/>
      <c r="BD49" s="132"/>
      <c r="BE49" s="134"/>
      <c r="BF49" s="136"/>
      <c r="BG49" s="136"/>
      <c r="BH49" s="131"/>
      <c r="BI49" s="132"/>
      <c r="BJ49" s="133"/>
      <c r="BK49" s="135"/>
      <c r="BL49" s="131"/>
      <c r="BM49" s="136"/>
      <c r="BN49" s="134"/>
      <c r="BO49" s="131"/>
      <c r="BP49" s="131"/>
      <c r="BQ49" s="132"/>
      <c r="BR49" s="133"/>
      <c r="BS49" s="131"/>
      <c r="BT49" s="131"/>
      <c r="BU49" s="131"/>
      <c r="BV49" s="136"/>
      <c r="BW49" s="134"/>
      <c r="BX49" s="131"/>
      <c r="BY49" s="131"/>
      <c r="BZ49" s="132"/>
      <c r="CA49" s="133"/>
      <c r="CB49" s="131"/>
      <c r="CC49" s="131"/>
      <c r="CD49" s="132"/>
      <c r="CE49" s="137"/>
      <c r="CF49" s="133"/>
      <c r="CG49" s="138"/>
      <c r="CH49" s="138"/>
      <c r="CI49" s="139"/>
      <c r="CJ49" s="134"/>
      <c r="CK49" s="138"/>
      <c r="CL49" s="138"/>
      <c r="CM49" s="140"/>
      <c r="CR49" s="124"/>
      <c r="CV49" s="125"/>
      <c r="CW49" s="124"/>
      <c r="CZ49" s="126"/>
      <c r="DA49" s="124"/>
      <c r="DC49" s="193"/>
      <c r="DE49" s="124"/>
      <c r="DJ49" s="124"/>
      <c r="DK49" s="125"/>
      <c r="DM49" s="126"/>
      <c r="DN49" s="124"/>
      <c r="DS49" s="124"/>
      <c r="EA49" s="124"/>
      <c r="EE49" s="125"/>
      <c r="EF49" s="124"/>
      <c r="EJ49" s="124"/>
      <c r="EN49" s="124"/>
      <c r="ER49" s="126"/>
      <c r="EV49" s="125"/>
      <c r="EW49" s="124"/>
      <c r="EZ49" s="126"/>
      <c r="FF49" s="124"/>
      <c r="FI49" s="126"/>
      <c r="FK49" s="125"/>
      <c r="FN49" s="124"/>
      <c r="FR49" s="126"/>
      <c r="FW49" s="124"/>
      <c r="FZ49" s="126"/>
      <c r="GA49" s="124"/>
      <c r="GE49" s="141"/>
      <c r="GJ49" s="124"/>
      <c r="GM49" s="126"/>
      <c r="GS49" s="124"/>
      <c r="GV49" s="126"/>
      <c r="HA49" s="124"/>
      <c r="HE49" s="126"/>
      <c r="HJ49" s="124"/>
      <c r="HM49" s="126"/>
      <c r="HS49" s="124"/>
      <c r="HV49" s="126"/>
      <c r="IA49" s="124"/>
      <c r="IE49" s="125"/>
      <c r="IF49" s="124"/>
      <c r="II49" s="126"/>
      <c r="IN49" s="124"/>
      <c r="IR49" s="126"/>
      <c r="IW49" s="124"/>
      <c r="IZ49" s="126"/>
      <c r="JF49" s="124"/>
      <c r="JI49" s="126"/>
      <c r="JN49" s="124"/>
      <c r="JR49" s="126"/>
      <c r="JW49" s="124"/>
      <c r="JZ49" s="126"/>
      <c r="KA49" s="124"/>
      <c r="KD49" s="141"/>
      <c r="KE49" s="124"/>
      <c r="KH49" s="126"/>
    </row>
    <row r="50" spans="1:294" ht="21" customHeight="1">
      <c r="B50" s="127"/>
      <c r="C50" s="215"/>
      <c r="D50" s="199"/>
      <c r="E50" s="200"/>
      <c r="F50" s="201"/>
      <c r="G50" s="201"/>
      <c r="H50" s="201"/>
      <c r="I50" s="202"/>
      <c r="J50" s="203"/>
      <c r="K50" s="201"/>
      <c r="L50" s="201"/>
      <c r="M50" s="202"/>
      <c r="N50" s="204"/>
      <c r="O50" s="201"/>
      <c r="P50" s="201"/>
      <c r="Q50" s="202"/>
      <c r="R50" s="204"/>
      <c r="S50" s="201"/>
      <c r="T50" s="201"/>
      <c r="U50" s="202"/>
      <c r="V50" s="200"/>
      <c r="W50" s="201"/>
      <c r="X50" s="201"/>
      <c r="Y50" s="201"/>
      <c r="Z50" s="202"/>
      <c r="AA50" s="204"/>
      <c r="AB50" s="201"/>
      <c r="AC50" s="201"/>
      <c r="AD50" s="202"/>
      <c r="AE50" s="204"/>
      <c r="AF50" s="201"/>
      <c r="AG50" s="201"/>
      <c r="AH50" s="202"/>
      <c r="AI50" s="204"/>
      <c r="AJ50" s="201"/>
      <c r="AK50" s="205"/>
      <c r="AL50" s="201"/>
      <c r="AM50" s="202"/>
      <c r="AN50" s="204"/>
      <c r="AO50" s="201"/>
      <c r="AP50" s="201"/>
      <c r="AQ50" s="202"/>
      <c r="AR50" s="204"/>
      <c r="AS50" s="201"/>
      <c r="AT50" s="201"/>
      <c r="AU50" s="201"/>
      <c r="AV50" s="202"/>
      <c r="AW50" s="204"/>
      <c r="AX50" s="201"/>
      <c r="AY50" s="201"/>
      <c r="AZ50" s="202"/>
      <c r="BA50" s="204"/>
      <c r="BB50" s="201"/>
      <c r="BC50" s="201"/>
      <c r="BD50" s="202"/>
      <c r="BE50" s="204"/>
      <c r="BF50" s="206"/>
      <c r="BG50" s="206"/>
      <c r="BH50" s="201"/>
      <c r="BI50" s="202"/>
      <c r="BJ50" s="203"/>
      <c r="BK50" s="205"/>
      <c r="BL50" s="201"/>
      <c r="BM50" s="206"/>
      <c r="BN50" s="204"/>
      <c r="BO50" s="201"/>
      <c r="BP50" s="201"/>
      <c r="BQ50" s="202"/>
      <c r="BR50" s="203"/>
      <c r="BS50" s="201"/>
      <c r="BT50" s="201"/>
      <c r="BU50" s="201"/>
      <c r="BV50" s="206"/>
      <c r="BW50" s="204"/>
      <c r="BX50" s="201"/>
      <c r="BY50" s="201"/>
      <c r="BZ50" s="202"/>
      <c r="CA50" s="203"/>
      <c r="CB50" s="201"/>
      <c r="CC50" s="201"/>
      <c r="CD50" s="202"/>
      <c r="CE50" s="207"/>
      <c r="CF50" s="203"/>
      <c r="CG50" s="208"/>
      <c r="CH50" s="208"/>
      <c r="CI50" s="209"/>
      <c r="CJ50" s="204"/>
      <c r="CK50" s="208"/>
      <c r="CL50" s="208"/>
      <c r="CM50" s="210"/>
      <c r="CN50" s="195"/>
      <c r="CO50" s="195"/>
      <c r="CP50" s="195"/>
      <c r="CQ50" s="195"/>
      <c r="CR50" s="196"/>
      <c r="CS50" s="195"/>
      <c r="CT50" s="195"/>
      <c r="CU50" s="195"/>
      <c r="CV50" s="211"/>
      <c r="CW50" s="196"/>
      <c r="CX50" s="195"/>
      <c r="CY50" s="195"/>
      <c r="CZ50" s="197"/>
      <c r="DA50" s="196"/>
      <c r="DB50" s="195"/>
      <c r="DC50" s="212"/>
      <c r="DD50" s="195"/>
      <c r="DE50" s="196"/>
      <c r="DF50" s="195"/>
      <c r="DG50" s="195"/>
      <c r="DH50" s="195"/>
      <c r="DI50" s="195"/>
      <c r="DJ50" s="196"/>
      <c r="DK50" s="211"/>
      <c r="DL50" s="195"/>
      <c r="DM50" s="197"/>
      <c r="DN50" s="196"/>
      <c r="DO50" s="195"/>
      <c r="DP50" s="195"/>
      <c r="DQ50" s="195"/>
      <c r="DR50" s="195"/>
      <c r="DS50" s="196"/>
      <c r="DT50" s="195"/>
      <c r="DU50" s="195"/>
      <c r="DV50" s="195"/>
      <c r="DW50" s="195"/>
      <c r="DX50" s="195"/>
      <c r="DY50" s="195"/>
      <c r="DZ50" s="195"/>
      <c r="EA50" s="196"/>
      <c r="EB50" s="195"/>
      <c r="EC50" s="195"/>
      <c r="ED50" s="195"/>
      <c r="EE50" s="211"/>
      <c r="EF50" s="196"/>
      <c r="EG50" s="195"/>
      <c r="EH50" s="195"/>
      <c r="EI50" s="195"/>
      <c r="EJ50" s="196"/>
      <c r="EK50" s="195"/>
      <c r="EL50" s="195"/>
      <c r="EM50" s="195"/>
      <c r="EN50" s="196"/>
      <c r="EO50" s="195"/>
      <c r="EP50" s="195"/>
      <c r="EQ50" s="195"/>
      <c r="ER50" s="197"/>
      <c r="ES50" s="195"/>
      <c r="ET50" s="195"/>
      <c r="EU50" s="195"/>
      <c r="EV50" s="211"/>
      <c r="EW50" s="196"/>
      <c r="EX50" s="195"/>
      <c r="EY50" s="195"/>
      <c r="EZ50" s="197"/>
      <c r="FA50" s="195"/>
      <c r="FB50" s="195"/>
      <c r="FC50" s="195"/>
      <c r="FD50" s="195"/>
      <c r="FE50" s="195"/>
      <c r="FF50" s="196"/>
      <c r="FG50" s="195"/>
      <c r="FH50" s="195"/>
      <c r="FI50" s="197"/>
      <c r="FJ50" s="195"/>
      <c r="FK50" s="211"/>
      <c r="FL50" s="195"/>
      <c r="FM50" s="195"/>
      <c r="FN50" s="196"/>
      <c r="FO50" s="195"/>
      <c r="FP50" s="195"/>
      <c r="FQ50" s="195"/>
      <c r="FR50" s="197"/>
      <c r="FS50" s="195"/>
      <c r="FT50" s="195"/>
      <c r="FU50" s="195"/>
      <c r="FV50" s="195"/>
      <c r="FW50" s="196"/>
      <c r="FX50" s="195"/>
      <c r="FY50" s="195"/>
      <c r="FZ50" s="197"/>
      <c r="GA50" s="196"/>
      <c r="GB50" s="195"/>
      <c r="GC50" s="195"/>
      <c r="GD50" s="195"/>
      <c r="GE50" s="213"/>
      <c r="GF50" s="195"/>
      <c r="GG50" s="195"/>
      <c r="GH50" s="195"/>
      <c r="GI50" s="195"/>
      <c r="GJ50" s="196"/>
      <c r="GK50" s="195"/>
      <c r="GL50" s="195"/>
      <c r="GM50" s="197"/>
      <c r="GN50" s="195"/>
      <c r="GO50" s="195"/>
      <c r="GP50" s="195"/>
      <c r="GQ50" s="195"/>
      <c r="GR50" s="195"/>
      <c r="GS50" s="196"/>
      <c r="GT50" s="195"/>
      <c r="GU50" s="195"/>
      <c r="GV50" s="197"/>
      <c r="GW50" s="195"/>
      <c r="GX50" s="195"/>
      <c r="GY50" s="195"/>
      <c r="GZ50" s="195"/>
      <c r="HA50" s="196"/>
      <c r="HB50" s="195"/>
      <c r="HC50" s="195"/>
      <c r="HD50" s="195"/>
      <c r="HE50" s="197"/>
      <c r="HF50" s="195"/>
      <c r="HG50" s="195"/>
      <c r="HH50" s="195"/>
      <c r="HI50" s="195"/>
      <c r="HJ50" s="196"/>
      <c r="HK50" s="195"/>
      <c r="HL50" s="195"/>
      <c r="HM50" s="197"/>
      <c r="HN50" s="195"/>
      <c r="HO50" s="195"/>
      <c r="HP50" s="195"/>
      <c r="HQ50" s="195"/>
      <c r="HR50" s="195"/>
      <c r="HS50" s="196"/>
      <c r="HV50" s="126"/>
      <c r="IA50" s="124"/>
      <c r="IE50" s="125"/>
      <c r="IF50" s="124"/>
      <c r="II50" s="126"/>
      <c r="IN50" s="124"/>
      <c r="IR50" s="126"/>
      <c r="IW50" s="124"/>
      <c r="IZ50" s="126"/>
      <c r="JF50" s="124"/>
      <c r="JI50" s="126"/>
      <c r="JN50" s="124"/>
      <c r="JR50" s="126"/>
      <c r="JW50" s="124"/>
      <c r="JZ50" s="126"/>
      <c r="KA50" s="124"/>
      <c r="KD50" s="141"/>
      <c r="KE50" s="124"/>
      <c r="KH50" s="126"/>
    </row>
    <row r="51" spans="1:294" ht="21" customHeight="1">
      <c r="B51" s="127"/>
      <c r="C51" s="215"/>
      <c r="D51" s="129"/>
      <c r="E51" s="130"/>
      <c r="F51" s="131"/>
      <c r="G51" s="131"/>
      <c r="H51" s="131"/>
      <c r="I51" s="132"/>
      <c r="J51" s="133"/>
      <c r="K51" s="131"/>
      <c r="L51" s="131"/>
      <c r="M51" s="132"/>
      <c r="N51" s="134"/>
      <c r="O51" s="131"/>
      <c r="P51" s="131"/>
      <c r="Q51" s="132"/>
      <c r="R51" s="134"/>
      <c r="S51" s="131"/>
      <c r="T51" s="131"/>
      <c r="U51" s="132"/>
      <c r="V51" s="130"/>
      <c r="W51" s="131"/>
      <c r="X51" s="131"/>
      <c r="Y51" s="131"/>
      <c r="Z51" s="132"/>
      <c r="AA51" s="134"/>
      <c r="AB51" s="131"/>
      <c r="AC51" s="131"/>
      <c r="AD51" s="132"/>
      <c r="AE51" s="134"/>
      <c r="AF51" s="131"/>
      <c r="AG51" s="131"/>
      <c r="AH51" s="132"/>
      <c r="AI51" s="134"/>
      <c r="AJ51" s="131"/>
      <c r="AK51" s="135"/>
      <c r="AL51" s="131"/>
      <c r="AM51" s="132"/>
      <c r="AN51" s="134"/>
      <c r="AO51" s="131"/>
      <c r="AP51" s="131"/>
      <c r="AQ51" s="132"/>
      <c r="AR51" s="134"/>
      <c r="AS51" s="131"/>
      <c r="AT51" s="131"/>
      <c r="AU51" s="131"/>
      <c r="AV51" s="132"/>
      <c r="AW51" s="134"/>
      <c r="AX51" s="131"/>
      <c r="AY51" s="131"/>
      <c r="AZ51" s="132"/>
      <c r="BA51" s="134"/>
      <c r="BB51" s="131"/>
      <c r="BC51" s="131"/>
      <c r="BD51" s="132"/>
      <c r="BE51" s="134"/>
      <c r="BF51" s="136"/>
      <c r="BG51" s="136"/>
      <c r="BH51" s="131"/>
      <c r="BI51" s="132"/>
      <c r="BJ51" s="133"/>
      <c r="BK51" s="135"/>
      <c r="BL51" s="131"/>
      <c r="BM51" s="136"/>
      <c r="BN51" s="134"/>
      <c r="BO51" s="131"/>
      <c r="BP51" s="131"/>
      <c r="BQ51" s="132"/>
      <c r="BR51" s="133"/>
      <c r="BS51" s="131"/>
      <c r="BT51" s="131"/>
      <c r="BU51" s="131"/>
      <c r="BV51" s="136"/>
      <c r="BW51" s="134"/>
      <c r="BX51" s="131"/>
      <c r="BY51" s="131"/>
      <c r="BZ51" s="132"/>
      <c r="CA51" s="133"/>
      <c r="CB51" s="131"/>
      <c r="CC51" s="131"/>
      <c r="CD51" s="132"/>
      <c r="CE51" s="137"/>
      <c r="CF51" s="133"/>
      <c r="CG51" s="138"/>
      <c r="CH51" s="138"/>
      <c r="CI51" s="139"/>
      <c r="CJ51" s="134"/>
      <c r="CK51" s="138"/>
      <c r="CL51" s="138"/>
      <c r="CM51" s="140"/>
      <c r="CR51" s="124"/>
      <c r="CV51" s="125"/>
      <c r="CW51" s="124"/>
      <c r="CZ51" s="126"/>
      <c r="DA51" s="124"/>
      <c r="DC51" s="193"/>
      <c r="DE51" s="124"/>
      <c r="DJ51" s="124"/>
      <c r="DK51" s="125"/>
      <c r="DM51" s="126"/>
      <c r="DN51" s="124"/>
      <c r="DS51" s="124"/>
      <c r="EA51" s="124"/>
      <c r="EE51" s="125"/>
      <c r="EF51" s="124"/>
      <c r="EJ51" s="124"/>
      <c r="EN51" s="124"/>
      <c r="ER51" s="126"/>
      <c r="EV51" s="125"/>
      <c r="EW51" s="124"/>
      <c r="EZ51" s="126"/>
      <c r="FF51" s="124"/>
      <c r="FI51" s="126"/>
      <c r="FK51" s="125"/>
      <c r="FN51" s="124"/>
      <c r="FR51" s="126"/>
      <c r="FW51" s="124"/>
      <c r="FZ51" s="126"/>
      <c r="GA51" s="124"/>
      <c r="GE51" s="141"/>
      <c r="GJ51" s="124"/>
      <c r="GM51" s="126"/>
      <c r="GS51" s="124"/>
      <c r="GV51" s="126"/>
      <c r="HA51" s="124"/>
      <c r="HE51" s="126"/>
      <c r="HJ51" s="124"/>
      <c r="HM51" s="126"/>
      <c r="HS51" s="124"/>
      <c r="HV51" s="126"/>
      <c r="IA51" s="124"/>
      <c r="IE51" s="125"/>
      <c r="IF51" s="124"/>
      <c r="II51" s="126"/>
      <c r="IN51" s="124"/>
      <c r="IR51" s="126"/>
      <c r="IW51" s="124"/>
      <c r="IZ51" s="126"/>
      <c r="JF51" s="124"/>
      <c r="JI51" s="126"/>
      <c r="JN51" s="124"/>
      <c r="JR51" s="126"/>
      <c r="JW51" s="124"/>
      <c r="JZ51" s="126"/>
      <c r="KD51" s="141"/>
      <c r="KE51" s="124"/>
      <c r="KH51" s="126"/>
    </row>
    <row r="52" spans="1:294" ht="21" customHeight="1">
      <c r="B52" s="127"/>
      <c r="C52" s="192"/>
      <c r="D52" s="129"/>
      <c r="E52" s="130"/>
      <c r="F52" s="131"/>
      <c r="G52" s="131"/>
      <c r="H52" s="131"/>
      <c r="I52" s="132"/>
      <c r="J52" s="133"/>
      <c r="K52" s="131"/>
      <c r="L52" s="131"/>
      <c r="M52" s="132"/>
      <c r="N52" s="134"/>
      <c r="O52" s="131"/>
      <c r="P52" s="131"/>
      <c r="Q52" s="132"/>
      <c r="R52" s="134"/>
      <c r="S52" s="131"/>
      <c r="T52" s="131"/>
      <c r="U52" s="132"/>
      <c r="V52" s="130"/>
      <c r="W52" s="131"/>
      <c r="X52" s="131"/>
      <c r="Y52" s="131"/>
      <c r="Z52" s="132"/>
      <c r="AA52" s="134"/>
      <c r="AB52" s="131"/>
      <c r="AC52" s="131"/>
      <c r="AD52" s="132"/>
      <c r="AE52" s="134"/>
      <c r="AF52" s="131"/>
      <c r="AG52" s="131"/>
      <c r="AH52" s="132"/>
      <c r="AI52" s="134"/>
      <c r="AJ52" s="131"/>
      <c r="AK52" s="135"/>
      <c r="AL52" s="131"/>
      <c r="AM52" s="132"/>
      <c r="AN52" s="134"/>
      <c r="AO52" s="131"/>
      <c r="AP52" s="131"/>
      <c r="AQ52" s="132"/>
      <c r="AR52" s="134"/>
      <c r="AS52" s="131"/>
      <c r="AT52" s="131"/>
      <c r="AU52" s="131"/>
      <c r="AV52" s="132"/>
      <c r="AW52" s="134"/>
      <c r="AX52" s="131"/>
      <c r="AY52" s="131"/>
      <c r="AZ52" s="132"/>
      <c r="BA52" s="134"/>
      <c r="BB52" s="131"/>
      <c r="BC52" s="131"/>
      <c r="BD52" s="132"/>
      <c r="BE52" s="134"/>
      <c r="BF52" s="136"/>
      <c r="BG52" s="136"/>
      <c r="BH52" s="131"/>
      <c r="BI52" s="132"/>
      <c r="BJ52" s="133"/>
      <c r="BK52" s="135"/>
      <c r="BL52" s="131"/>
      <c r="BM52" s="136"/>
      <c r="BN52" s="134"/>
      <c r="BO52" s="131"/>
      <c r="BP52" s="131"/>
      <c r="BQ52" s="132"/>
      <c r="BR52" s="133"/>
      <c r="BS52" s="131"/>
      <c r="BT52" s="131"/>
      <c r="BU52" s="131"/>
      <c r="BV52" s="136"/>
      <c r="BW52" s="134"/>
      <c r="BX52" s="131"/>
      <c r="BY52" s="131"/>
      <c r="BZ52" s="132"/>
      <c r="CA52" s="133"/>
      <c r="CB52" s="131"/>
      <c r="CC52" s="131"/>
      <c r="CD52" s="132"/>
      <c r="CE52" s="137"/>
      <c r="CF52" s="133"/>
      <c r="CG52" s="138"/>
      <c r="CH52" s="138"/>
      <c r="CI52" s="139"/>
      <c r="CJ52" s="134"/>
      <c r="CK52" s="138"/>
      <c r="CL52" s="138"/>
      <c r="CM52" s="140"/>
      <c r="CR52" s="124"/>
      <c r="CV52" s="125"/>
      <c r="CW52" s="124"/>
      <c r="CZ52" s="126"/>
      <c r="DA52" s="124"/>
      <c r="DC52" s="193"/>
      <c r="DE52" s="124"/>
      <c r="DJ52" s="124"/>
      <c r="DK52" s="125"/>
      <c r="DM52" s="126"/>
      <c r="DN52" s="124"/>
      <c r="DS52" s="124"/>
      <c r="EA52" s="124"/>
      <c r="EE52" s="125"/>
      <c r="EF52" s="124"/>
      <c r="EJ52" s="124"/>
      <c r="EN52" s="124"/>
      <c r="ER52" s="126"/>
      <c r="EV52" s="125"/>
      <c r="EW52" s="124"/>
      <c r="EZ52" s="126"/>
      <c r="FF52" s="124"/>
      <c r="FI52" s="126"/>
      <c r="FK52" s="125"/>
      <c r="FN52" s="124"/>
      <c r="FR52" s="126"/>
      <c r="FW52" s="124"/>
      <c r="FZ52" s="126"/>
      <c r="GA52" s="124"/>
      <c r="GE52" s="141"/>
      <c r="GJ52" s="124"/>
      <c r="GM52" s="126"/>
      <c r="GS52" s="124"/>
      <c r="GV52" s="126"/>
      <c r="HA52" s="124"/>
      <c r="HE52" s="126"/>
      <c r="HJ52" s="124"/>
      <c r="HM52" s="126"/>
      <c r="HS52" s="124"/>
      <c r="HV52" s="126"/>
      <c r="IA52" s="124"/>
      <c r="IE52" s="125"/>
      <c r="IF52" s="124"/>
      <c r="II52" s="126"/>
      <c r="IN52" s="124"/>
      <c r="IR52" s="126"/>
      <c r="IW52" s="124"/>
      <c r="IZ52" s="126"/>
      <c r="JF52" s="124"/>
      <c r="JI52" s="126"/>
      <c r="JN52" s="124"/>
      <c r="JR52" s="126"/>
      <c r="JW52" s="124"/>
      <c r="JZ52" s="126"/>
      <c r="KD52" s="141"/>
      <c r="KE52" s="124"/>
      <c r="KH52" s="126"/>
    </row>
    <row r="53" spans="1:294" ht="21" customHeight="1" thickBot="1">
      <c r="B53" s="127"/>
      <c r="C53" s="214"/>
      <c r="D53" s="158"/>
      <c r="E53" s="159"/>
      <c r="F53" s="160"/>
      <c r="G53" s="160"/>
      <c r="H53" s="160"/>
      <c r="I53" s="161"/>
      <c r="J53" s="162"/>
      <c r="K53" s="160"/>
      <c r="L53" s="160"/>
      <c r="M53" s="161"/>
      <c r="N53" s="163"/>
      <c r="O53" s="160"/>
      <c r="P53" s="160"/>
      <c r="Q53" s="161"/>
      <c r="R53" s="163"/>
      <c r="S53" s="160"/>
      <c r="T53" s="160"/>
      <c r="U53" s="161"/>
      <c r="V53" s="159"/>
      <c r="W53" s="160"/>
      <c r="X53" s="160"/>
      <c r="Y53" s="160"/>
      <c r="Z53" s="161"/>
      <c r="AA53" s="163"/>
      <c r="AB53" s="160"/>
      <c r="AC53" s="160"/>
      <c r="AD53" s="161"/>
      <c r="AE53" s="163"/>
      <c r="AF53" s="160"/>
      <c r="AG53" s="160"/>
      <c r="AH53" s="161"/>
      <c r="AI53" s="163"/>
      <c r="AJ53" s="160"/>
      <c r="AK53" s="164"/>
      <c r="AL53" s="160"/>
      <c r="AM53" s="161"/>
      <c r="AN53" s="163"/>
      <c r="AO53" s="160"/>
      <c r="AP53" s="160"/>
      <c r="AQ53" s="161"/>
      <c r="AR53" s="163"/>
      <c r="AS53" s="160"/>
      <c r="AT53" s="160"/>
      <c r="AU53" s="160"/>
      <c r="AV53" s="161"/>
      <c r="AW53" s="163"/>
      <c r="AX53" s="160"/>
      <c r="AY53" s="160"/>
      <c r="AZ53" s="161"/>
      <c r="BA53" s="163"/>
      <c r="BB53" s="160"/>
      <c r="BC53" s="160"/>
      <c r="BD53" s="161"/>
      <c r="BE53" s="163"/>
      <c r="BF53" s="165"/>
      <c r="BG53" s="165"/>
      <c r="BH53" s="160"/>
      <c r="BI53" s="161"/>
      <c r="BJ53" s="162"/>
      <c r="BK53" s="164"/>
      <c r="BL53" s="160"/>
      <c r="BM53" s="165"/>
      <c r="BN53" s="163"/>
      <c r="BO53" s="160"/>
      <c r="BP53" s="160"/>
      <c r="BQ53" s="161"/>
      <c r="BR53" s="162"/>
      <c r="BS53" s="160"/>
      <c r="BT53" s="160"/>
      <c r="BU53" s="160"/>
      <c r="BV53" s="165"/>
      <c r="BW53" s="163"/>
      <c r="BX53" s="160"/>
      <c r="BY53" s="160"/>
      <c r="BZ53" s="161"/>
      <c r="CA53" s="162"/>
      <c r="CB53" s="160"/>
      <c r="CC53" s="160"/>
      <c r="CD53" s="161"/>
      <c r="CE53" s="166"/>
      <c r="CF53" s="162"/>
      <c r="CG53" s="167"/>
      <c r="CH53" s="167"/>
      <c r="CI53" s="168"/>
      <c r="CJ53" s="163"/>
      <c r="CK53" s="167"/>
      <c r="CL53" s="167"/>
      <c r="CM53" s="169"/>
      <c r="CN53" s="145"/>
      <c r="CO53" s="145"/>
      <c r="CP53" s="145"/>
      <c r="CQ53" s="145"/>
      <c r="CR53" s="146"/>
      <c r="CS53" s="145"/>
      <c r="CT53" s="145"/>
      <c r="CU53" s="145"/>
      <c r="CV53" s="147"/>
      <c r="CW53" s="146"/>
      <c r="CX53" s="145"/>
      <c r="CY53" s="145"/>
      <c r="CZ53" s="148"/>
      <c r="DA53" s="146"/>
      <c r="DB53" s="145"/>
      <c r="DC53" s="176"/>
      <c r="DD53" s="145"/>
      <c r="DE53" s="146"/>
      <c r="DF53" s="145"/>
      <c r="DG53" s="145"/>
      <c r="DH53" s="145"/>
      <c r="DI53" s="145"/>
      <c r="DJ53" s="146"/>
      <c r="DK53" s="147"/>
      <c r="DL53" s="145"/>
      <c r="DM53" s="148"/>
      <c r="DN53" s="146"/>
      <c r="DO53" s="145"/>
      <c r="DP53" s="145"/>
      <c r="DQ53" s="145"/>
      <c r="DR53" s="145"/>
      <c r="DS53" s="146"/>
      <c r="DT53" s="145"/>
      <c r="DU53" s="145"/>
      <c r="DV53" s="145"/>
      <c r="DW53" s="145"/>
      <c r="DX53" s="145"/>
      <c r="DY53" s="145"/>
      <c r="DZ53" s="145"/>
      <c r="EA53" s="146"/>
      <c r="EB53" s="145"/>
      <c r="EC53" s="145"/>
      <c r="ED53" s="145"/>
      <c r="EE53" s="147"/>
      <c r="EF53" s="146"/>
      <c r="EG53" s="145"/>
      <c r="EH53" s="145"/>
      <c r="EI53" s="145"/>
      <c r="EJ53" s="146"/>
      <c r="EK53" s="145"/>
      <c r="EL53" s="145"/>
      <c r="EM53" s="145"/>
      <c r="EN53" s="146"/>
      <c r="EO53" s="145"/>
      <c r="EP53" s="145"/>
      <c r="EQ53" s="145"/>
      <c r="ER53" s="148"/>
      <c r="ES53" s="145"/>
      <c r="ET53" s="145"/>
      <c r="EU53" s="145"/>
      <c r="EV53" s="147"/>
      <c r="EW53" s="146"/>
      <c r="EX53" s="145"/>
      <c r="EY53" s="145"/>
      <c r="EZ53" s="148"/>
      <c r="FA53" s="145"/>
      <c r="FB53" s="145"/>
      <c r="FC53" s="145"/>
      <c r="FD53" s="145"/>
      <c r="FE53" s="145"/>
      <c r="FF53" s="146"/>
      <c r="FG53" s="145"/>
      <c r="FH53" s="145"/>
      <c r="FI53" s="148"/>
      <c r="FJ53" s="145"/>
      <c r="FK53" s="147"/>
      <c r="FL53" s="145"/>
      <c r="FM53" s="145"/>
      <c r="FN53" s="146"/>
      <c r="FO53" s="145"/>
      <c r="FP53" s="145"/>
      <c r="FQ53" s="145"/>
      <c r="FR53" s="148"/>
      <c r="FS53" s="145"/>
      <c r="FT53" s="145"/>
      <c r="FU53" s="145"/>
      <c r="FV53" s="145"/>
      <c r="FW53" s="146"/>
      <c r="FX53" s="145"/>
      <c r="FY53" s="145"/>
      <c r="FZ53" s="148"/>
      <c r="GA53" s="146"/>
      <c r="GB53" s="145"/>
      <c r="GC53" s="145"/>
      <c r="GD53" s="145"/>
      <c r="GE53" s="149"/>
      <c r="GF53" s="145"/>
      <c r="GG53" s="145"/>
      <c r="GH53" s="145"/>
      <c r="GI53" s="145"/>
      <c r="GJ53" s="146"/>
      <c r="GK53" s="145"/>
      <c r="GL53" s="145"/>
      <c r="GM53" s="148"/>
      <c r="GN53" s="145"/>
      <c r="GO53" s="145"/>
      <c r="GP53" s="145"/>
      <c r="GQ53" s="145"/>
      <c r="GR53" s="145"/>
      <c r="GS53" s="146"/>
      <c r="GT53" s="145"/>
      <c r="GU53" s="145"/>
      <c r="GV53" s="148"/>
      <c r="GW53" s="145"/>
      <c r="GX53" s="145"/>
      <c r="GY53" s="145"/>
      <c r="GZ53" s="145"/>
      <c r="HA53" s="146"/>
      <c r="HB53" s="145"/>
      <c r="HC53" s="145"/>
      <c r="HD53" s="145"/>
      <c r="HE53" s="148"/>
      <c r="HF53" s="145"/>
      <c r="HG53" s="145"/>
      <c r="HH53" s="145"/>
      <c r="HI53" s="145"/>
      <c r="HJ53" s="146"/>
      <c r="HK53" s="145"/>
      <c r="HL53" s="145"/>
      <c r="HM53" s="148"/>
      <c r="HN53" s="145"/>
      <c r="HO53" s="145"/>
      <c r="HP53" s="145"/>
      <c r="HQ53" s="145"/>
      <c r="HR53" s="145"/>
      <c r="HS53" s="146"/>
      <c r="HT53" s="145"/>
      <c r="HU53" s="145"/>
      <c r="HV53" s="148"/>
      <c r="HW53" s="145"/>
      <c r="HX53" s="145"/>
      <c r="HY53" s="145"/>
      <c r="HZ53" s="145"/>
      <c r="IA53" s="146"/>
      <c r="IB53" s="145"/>
      <c r="IC53" s="145"/>
      <c r="ID53" s="145"/>
      <c r="IE53" s="147"/>
      <c r="IF53" s="146"/>
      <c r="IG53" s="145"/>
      <c r="IH53" s="145"/>
      <c r="II53" s="148"/>
      <c r="IJ53" s="145"/>
      <c r="IK53" s="145"/>
      <c r="IL53" s="145"/>
      <c r="IM53" s="145"/>
      <c r="IN53" s="146"/>
      <c r="IO53" s="145"/>
      <c r="IP53" s="145"/>
      <c r="IQ53" s="145"/>
      <c r="IR53" s="148"/>
      <c r="IS53" s="145"/>
      <c r="IT53" s="145"/>
      <c r="IU53" s="145"/>
      <c r="IV53" s="145"/>
      <c r="IW53" s="146"/>
      <c r="IX53" s="145"/>
      <c r="IY53" s="145"/>
      <c r="IZ53" s="148"/>
      <c r="JA53" s="145"/>
      <c r="JB53" s="145"/>
      <c r="JC53" s="145"/>
      <c r="JD53" s="145"/>
      <c r="JE53" s="145"/>
      <c r="JF53" s="146"/>
      <c r="JG53" s="145"/>
      <c r="JH53" s="145"/>
      <c r="JI53" s="148"/>
      <c r="JJ53" s="145"/>
      <c r="JK53" s="145"/>
      <c r="JL53" s="145"/>
      <c r="JM53" s="145"/>
      <c r="JN53" s="146"/>
      <c r="JO53" s="145"/>
      <c r="JP53" s="145"/>
      <c r="JQ53" s="145"/>
      <c r="JR53" s="148"/>
      <c r="JS53" s="145"/>
      <c r="JT53" s="145"/>
      <c r="JU53" s="145"/>
      <c r="JV53" s="145"/>
      <c r="JW53" s="146"/>
      <c r="JX53" s="145"/>
      <c r="JY53" s="145"/>
      <c r="JZ53" s="148"/>
      <c r="KA53" s="145"/>
      <c r="KB53" s="145"/>
      <c r="KC53" s="145"/>
      <c r="KD53" s="149"/>
      <c r="KE53" s="146"/>
      <c r="KF53" s="145"/>
      <c r="KG53" s="145"/>
      <c r="KH53" s="148"/>
    </row>
    <row r="54" spans="1:294" ht="21" customHeight="1" thickTop="1">
      <c r="B54" s="127"/>
      <c r="C54" s="215"/>
      <c r="D54" s="129"/>
      <c r="E54" s="130"/>
      <c r="F54" s="131"/>
      <c r="G54" s="131"/>
      <c r="H54" s="131"/>
      <c r="I54" s="132"/>
      <c r="J54" s="133"/>
      <c r="K54" s="131"/>
      <c r="L54" s="131"/>
      <c r="M54" s="132"/>
      <c r="N54" s="134"/>
      <c r="O54" s="131"/>
      <c r="P54" s="131"/>
      <c r="Q54" s="132"/>
      <c r="R54" s="134"/>
      <c r="S54" s="131"/>
      <c r="T54" s="131"/>
      <c r="U54" s="132"/>
      <c r="V54" s="130"/>
      <c r="W54" s="131"/>
      <c r="X54" s="131"/>
      <c r="Y54" s="131"/>
      <c r="Z54" s="132"/>
      <c r="AA54" s="134"/>
      <c r="AB54" s="131"/>
      <c r="AC54" s="131"/>
      <c r="AD54" s="132"/>
      <c r="AE54" s="134"/>
      <c r="AF54" s="131"/>
      <c r="AG54" s="131"/>
      <c r="AH54" s="132"/>
      <c r="AI54" s="134"/>
      <c r="AJ54" s="131"/>
      <c r="AK54" s="135"/>
      <c r="AL54" s="131"/>
      <c r="AM54" s="132"/>
      <c r="AN54" s="134"/>
      <c r="AO54" s="131"/>
      <c r="AP54" s="131"/>
      <c r="AQ54" s="132"/>
      <c r="AR54" s="134"/>
      <c r="AS54" s="131"/>
      <c r="AT54" s="131"/>
      <c r="AU54" s="131"/>
      <c r="AV54" s="132"/>
      <c r="AW54" s="134"/>
      <c r="AX54" s="131"/>
      <c r="AY54" s="131"/>
      <c r="AZ54" s="132"/>
      <c r="BA54" s="134"/>
      <c r="BB54" s="131"/>
      <c r="BC54" s="131"/>
      <c r="BD54" s="132"/>
      <c r="BE54" s="134"/>
      <c r="BF54" s="136"/>
      <c r="BG54" s="136"/>
      <c r="BH54" s="131"/>
      <c r="BI54" s="132"/>
      <c r="BJ54" s="133"/>
      <c r="BK54" s="135"/>
      <c r="BL54" s="131"/>
      <c r="BM54" s="136"/>
      <c r="BN54" s="134"/>
      <c r="BO54" s="131"/>
      <c r="BP54" s="131"/>
      <c r="BQ54" s="132"/>
      <c r="BR54" s="133"/>
      <c r="BS54" s="131"/>
      <c r="BT54" s="131"/>
      <c r="BU54" s="131"/>
      <c r="BV54" s="136"/>
      <c r="BW54" s="134"/>
      <c r="BX54" s="131"/>
      <c r="BY54" s="131"/>
      <c r="BZ54" s="132"/>
      <c r="CA54" s="133"/>
      <c r="CB54" s="131"/>
      <c r="CC54" s="131"/>
      <c r="CD54" s="132"/>
      <c r="CE54" s="137"/>
      <c r="CF54" s="133"/>
      <c r="CG54" s="138"/>
      <c r="CH54" s="138"/>
      <c r="CI54" s="139"/>
      <c r="CJ54" s="134"/>
      <c r="CK54" s="138"/>
      <c r="CL54" s="138"/>
      <c r="CM54" s="140"/>
      <c r="CR54" s="124"/>
      <c r="CV54" s="125"/>
      <c r="CW54" s="124"/>
      <c r="CZ54" s="126"/>
      <c r="DA54" s="124"/>
      <c r="DC54" s="193"/>
      <c r="DE54" s="124"/>
      <c r="DJ54" s="124"/>
      <c r="DK54" s="125"/>
      <c r="DM54" s="126"/>
      <c r="DN54" s="124"/>
      <c r="DS54" s="124"/>
      <c r="EA54" s="124"/>
      <c r="EE54" s="125"/>
      <c r="EF54" s="124"/>
      <c r="EJ54" s="124"/>
      <c r="EN54" s="124"/>
      <c r="ER54" s="126"/>
      <c r="EV54" s="125"/>
      <c r="EW54" s="124"/>
      <c r="EZ54" s="126"/>
      <c r="FF54" s="124"/>
      <c r="FI54" s="126"/>
      <c r="FK54" s="125"/>
      <c r="FN54" s="124"/>
      <c r="FR54" s="126"/>
      <c r="FW54" s="124"/>
      <c r="FZ54" s="126"/>
      <c r="GA54" s="124"/>
      <c r="GE54" s="141"/>
      <c r="GJ54" s="124"/>
      <c r="GM54" s="126"/>
      <c r="GS54" s="124"/>
      <c r="GV54" s="126"/>
      <c r="HA54" s="124"/>
      <c r="HE54" s="126"/>
      <c r="HJ54" s="124"/>
      <c r="HM54" s="126"/>
      <c r="HS54" s="124"/>
      <c r="HV54" s="126"/>
      <c r="IA54" s="124"/>
      <c r="IE54" s="125"/>
      <c r="IF54" s="124"/>
      <c r="II54" s="126"/>
      <c r="IN54" s="124"/>
      <c r="IR54" s="126"/>
      <c r="IW54" s="124"/>
      <c r="IZ54" s="126"/>
      <c r="JF54" s="124"/>
      <c r="JI54" s="126"/>
      <c r="JN54" s="124"/>
      <c r="JR54" s="126"/>
      <c r="JW54" s="124"/>
      <c r="JZ54" s="126"/>
      <c r="KD54" s="141"/>
      <c r="KE54" s="124"/>
      <c r="KH54" s="126"/>
    </row>
    <row r="55" spans="1:294" ht="21" customHeight="1">
      <c r="B55" s="127"/>
      <c r="C55" s="320" t="s">
        <v>180</v>
      </c>
      <c r="D55" s="129"/>
      <c r="E55" s="130"/>
      <c r="F55" s="131"/>
      <c r="G55" s="131"/>
      <c r="H55" s="131"/>
      <c r="I55" s="132"/>
      <c r="J55" s="133"/>
      <c r="K55" s="131"/>
      <c r="L55" s="131"/>
      <c r="M55" s="132"/>
      <c r="N55" s="134"/>
      <c r="O55" s="131"/>
      <c r="P55" s="131"/>
      <c r="Q55" s="132"/>
      <c r="R55" s="134"/>
      <c r="S55" s="131"/>
      <c r="T55" s="131"/>
      <c r="U55" s="132"/>
      <c r="V55" s="130"/>
      <c r="W55" s="131"/>
      <c r="X55" s="131"/>
      <c r="Y55" s="131"/>
      <c r="Z55" s="132"/>
      <c r="AA55" s="134"/>
      <c r="AB55" s="131"/>
      <c r="AC55" s="131"/>
      <c r="AD55" s="132"/>
      <c r="AE55" s="134"/>
      <c r="AF55" s="131"/>
      <c r="AG55" s="131"/>
      <c r="AH55" s="132"/>
      <c r="AI55" s="134"/>
      <c r="AJ55" s="131"/>
      <c r="AK55" s="135"/>
      <c r="AL55" s="131"/>
      <c r="AM55" s="132"/>
      <c r="AN55" s="134"/>
      <c r="AO55" s="131"/>
      <c r="AP55" s="131"/>
      <c r="AQ55" s="132"/>
      <c r="AR55" s="134"/>
      <c r="AS55" s="131"/>
      <c r="AT55" s="131"/>
      <c r="AU55" s="131"/>
      <c r="AV55" s="132"/>
      <c r="AW55" s="134"/>
      <c r="AX55" s="131"/>
      <c r="AY55" s="131"/>
      <c r="AZ55" s="132"/>
      <c r="BA55" s="134"/>
      <c r="BB55" s="131"/>
      <c r="BC55" s="131"/>
      <c r="BD55" s="132"/>
      <c r="BE55" s="134"/>
      <c r="BF55" s="136"/>
      <c r="BG55" s="136"/>
      <c r="BH55" s="131"/>
      <c r="BI55" s="132"/>
      <c r="BJ55" s="133"/>
      <c r="BK55" s="135"/>
      <c r="BL55" s="131"/>
      <c r="BM55" s="136"/>
      <c r="BN55" s="134"/>
      <c r="BO55" s="131"/>
      <c r="BP55" s="131"/>
      <c r="BQ55" s="132"/>
      <c r="BR55" s="133"/>
      <c r="BS55" s="131"/>
      <c r="BT55" s="131"/>
      <c r="BU55" s="131"/>
      <c r="BV55" s="136"/>
      <c r="BW55" s="134"/>
      <c r="BX55" s="131"/>
      <c r="BY55" s="131"/>
      <c r="BZ55" s="132"/>
      <c r="CA55" s="133"/>
      <c r="CB55" s="131"/>
      <c r="CC55" s="131"/>
      <c r="CD55" s="132"/>
      <c r="CE55" s="137"/>
      <c r="CF55" s="133"/>
      <c r="CG55" s="138"/>
      <c r="CH55" s="138"/>
      <c r="CI55" s="139"/>
      <c r="CJ55" s="134"/>
      <c r="CK55" s="138"/>
      <c r="CL55" s="138"/>
      <c r="CM55" s="140"/>
      <c r="CR55" s="124"/>
      <c r="CV55" s="125"/>
      <c r="CW55" s="124"/>
      <c r="CZ55" s="126"/>
      <c r="DA55" s="124"/>
      <c r="DC55" s="193"/>
      <c r="DE55" s="124"/>
      <c r="DJ55" s="124"/>
      <c r="DK55" s="125"/>
      <c r="DM55" s="126"/>
      <c r="DN55" s="124"/>
      <c r="DS55" s="124"/>
      <c r="EA55" s="124"/>
      <c r="EE55" s="125"/>
      <c r="EF55" s="124"/>
      <c r="EJ55" s="124"/>
      <c r="EN55" s="124"/>
      <c r="ER55" s="126"/>
      <c r="EV55" s="125"/>
      <c r="EW55" s="124"/>
      <c r="EZ55" s="126"/>
      <c r="FF55" s="124"/>
      <c r="FI55" s="126"/>
      <c r="FK55" s="125"/>
      <c r="FN55" s="124"/>
      <c r="FR55" s="126"/>
      <c r="FW55" s="124"/>
      <c r="FZ55" s="126"/>
      <c r="GA55" s="124"/>
      <c r="GE55" s="141"/>
      <c r="GJ55" s="124"/>
      <c r="GM55" s="126"/>
      <c r="GS55" s="124"/>
      <c r="GV55" s="126"/>
      <c r="HA55" s="124"/>
      <c r="HE55" s="126"/>
      <c r="HJ55" s="124"/>
      <c r="HM55" s="126"/>
      <c r="HS55" s="124"/>
      <c r="HV55" s="126"/>
      <c r="IA55" s="124"/>
      <c r="IE55" s="125"/>
      <c r="IF55" s="124"/>
      <c r="II55" s="126"/>
      <c r="IN55" s="124"/>
      <c r="IR55" s="126"/>
      <c r="IW55" s="124"/>
      <c r="IZ55" s="126"/>
      <c r="JF55" s="124"/>
      <c r="JI55" s="126"/>
      <c r="JN55" s="124"/>
      <c r="JR55" s="126"/>
      <c r="JW55" s="124"/>
      <c r="JZ55" s="126"/>
      <c r="KD55" s="141"/>
      <c r="KE55" s="124"/>
      <c r="KH55" s="126"/>
    </row>
    <row r="56" spans="1:294" ht="21" customHeight="1">
      <c r="B56" s="127"/>
      <c r="C56" s="192" t="s">
        <v>181</v>
      </c>
      <c r="D56" s="220"/>
      <c r="E56" s="221"/>
      <c r="F56" s="222"/>
      <c r="G56" s="222"/>
      <c r="H56" s="222"/>
      <c r="I56" s="223"/>
      <c r="J56" s="224"/>
      <c r="K56" s="222"/>
      <c r="L56" s="222"/>
      <c r="M56" s="223"/>
      <c r="N56" s="225"/>
      <c r="O56" s="222"/>
      <c r="P56" s="222"/>
      <c r="Q56" s="223"/>
      <c r="R56" s="225"/>
      <c r="S56" s="222"/>
      <c r="T56" s="222"/>
      <c r="U56" s="223"/>
      <c r="V56" s="221"/>
      <c r="W56" s="222"/>
      <c r="X56" s="222"/>
      <c r="Y56" s="222"/>
      <c r="Z56" s="223"/>
      <c r="AA56" s="225"/>
      <c r="AB56" s="222"/>
      <c r="AC56" s="222"/>
      <c r="AD56" s="223"/>
      <c r="AE56" s="225"/>
      <c r="AF56" s="222"/>
      <c r="AG56" s="222"/>
      <c r="AH56" s="223"/>
      <c r="AI56" s="225"/>
      <c r="AJ56" s="222"/>
      <c r="AK56" s="226"/>
      <c r="AL56" s="222"/>
      <c r="AM56" s="223"/>
      <c r="AN56" s="225"/>
      <c r="AO56" s="222"/>
      <c r="AP56" s="222"/>
      <c r="AQ56" s="223"/>
      <c r="AR56" s="225"/>
      <c r="AS56" s="222"/>
      <c r="AT56" s="222"/>
      <c r="AU56" s="222"/>
      <c r="AV56" s="223"/>
      <c r="AW56" s="225"/>
      <c r="AX56" s="222"/>
      <c r="AY56" s="222"/>
      <c r="AZ56" s="223"/>
      <c r="BA56" s="225"/>
      <c r="BB56" s="222"/>
      <c r="BC56" s="222"/>
      <c r="BD56" s="223"/>
      <c r="BE56" s="225"/>
      <c r="BF56" s="227"/>
      <c r="BG56" s="227"/>
      <c r="BH56" s="222"/>
      <c r="BI56" s="223"/>
      <c r="BJ56" s="224"/>
      <c r="BK56" s="226"/>
      <c r="BL56" s="222"/>
      <c r="BM56" s="227"/>
      <c r="BN56" s="225"/>
      <c r="BO56" s="222"/>
      <c r="BP56" s="222"/>
      <c r="BQ56" s="223"/>
      <c r="BR56" s="224"/>
      <c r="BS56" s="222"/>
      <c r="BT56" s="222"/>
      <c r="BU56" s="222"/>
      <c r="BV56" s="227"/>
      <c r="BW56" s="225"/>
      <c r="BX56" s="222"/>
      <c r="BY56" s="222"/>
      <c r="BZ56" s="223"/>
      <c r="CA56" s="224"/>
      <c r="CB56" s="222"/>
      <c r="CC56" s="222"/>
      <c r="CD56" s="223"/>
      <c r="CE56" s="228"/>
      <c r="CF56" s="224"/>
      <c r="CG56" s="229"/>
      <c r="CH56" s="229"/>
      <c r="CI56" s="230"/>
      <c r="CJ56" s="225"/>
      <c r="CK56" s="229"/>
      <c r="CL56" s="229"/>
      <c r="CM56" s="231"/>
      <c r="CN56" s="216"/>
      <c r="CO56" s="216"/>
      <c r="CP56" s="216"/>
      <c r="CQ56" s="216"/>
      <c r="CR56" s="217"/>
      <c r="CS56" s="216"/>
      <c r="CT56" s="216"/>
      <c r="CU56" s="216"/>
      <c r="CV56" s="232"/>
      <c r="CW56" s="217"/>
      <c r="CX56" s="216"/>
      <c r="CY56" s="216"/>
      <c r="CZ56" s="218"/>
      <c r="DA56" s="217"/>
      <c r="DB56" s="216"/>
      <c r="DC56" s="233"/>
      <c r="DD56" s="216"/>
      <c r="DE56" s="217"/>
      <c r="DF56" s="216"/>
      <c r="DG56" s="216"/>
      <c r="DH56" s="216"/>
      <c r="DI56" s="216"/>
      <c r="DJ56" s="217"/>
      <c r="DK56" s="232"/>
      <c r="DL56" s="216"/>
      <c r="DM56" s="218"/>
      <c r="DN56" s="217"/>
      <c r="DO56" s="216"/>
      <c r="DP56" s="216"/>
      <c r="DQ56" s="216"/>
      <c r="DR56" s="216"/>
      <c r="DS56" s="217"/>
      <c r="DT56" s="216"/>
      <c r="DU56" s="216"/>
      <c r="DV56" s="216"/>
      <c r="DW56" s="216"/>
      <c r="DX56" s="216"/>
      <c r="DY56" s="216"/>
      <c r="DZ56" s="216"/>
      <c r="EA56" s="217"/>
      <c r="EB56" s="216"/>
      <c r="EC56" s="216"/>
      <c r="ED56" s="216"/>
      <c r="EE56" s="232"/>
      <c r="EF56" s="217"/>
      <c r="EG56" s="216"/>
      <c r="EH56" s="216"/>
      <c r="EI56" s="216"/>
      <c r="EJ56" s="217"/>
      <c r="EK56" s="216"/>
      <c r="EL56" s="216"/>
      <c r="EM56" s="216"/>
      <c r="EN56" s="217"/>
      <c r="EO56" s="216"/>
      <c r="EP56" s="216"/>
      <c r="EQ56" s="216"/>
      <c r="ER56" s="218"/>
      <c r="ES56" s="216"/>
      <c r="ET56" s="216"/>
      <c r="EU56" s="216"/>
      <c r="EV56" s="232"/>
      <c r="EW56" s="217"/>
      <c r="EX56" s="216"/>
      <c r="EY56" s="216"/>
      <c r="EZ56" s="218"/>
      <c r="FA56" s="216"/>
      <c r="FB56" s="216"/>
      <c r="FC56" s="216"/>
      <c r="FD56" s="216"/>
      <c r="FE56" s="216"/>
      <c r="FF56" s="217"/>
      <c r="FG56" s="216"/>
      <c r="FH56" s="216"/>
      <c r="FI56" s="218"/>
      <c r="FJ56" s="216"/>
      <c r="FK56" s="232"/>
      <c r="FL56" s="216"/>
      <c r="FM56" s="216"/>
      <c r="FN56" s="217"/>
      <c r="FO56" s="216"/>
      <c r="FP56" s="216"/>
      <c r="FQ56" s="216"/>
      <c r="FR56" s="218"/>
      <c r="FS56" s="216"/>
      <c r="FT56" s="216"/>
      <c r="FU56" s="216"/>
      <c r="FV56" s="216"/>
      <c r="FW56" s="217"/>
      <c r="FX56" s="216"/>
      <c r="FY56" s="216"/>
      <c r="FZ56" s="218"/>
      <c r="GA56" s="217"/>
      <c r="GB56" s="216"/>
      <c r="GC56" s="216"/>
      <c r="GD56" s="216"/>
      <c r="GE56" s="219"/>
      <c r="GF56" s="216"/>
      <c r="GG56" s="216"/>
      <c r="GH56" s="216"/>
      <c r="GI56" s="216"/>
      <c r="GJ56" s="217"/>
      <c r="GK56" s="216"/>
      <c r="GL56" s="216"/>
      <c r="GM56" s="218"/>
      <c r="GN56" s="216"/>
      <c r="GO56" s="216"/>
      <c r="GP56" s="216"/>
      <c r="GQ56" s="216"/>
      <c r="GR56" s="216"/>
      <c r="GS56" s="124"/>
      <c r="GV56" s="126"/>
      <c r="HA56" s="124"/>
      <c r="HE56" s="126"/>
      <c r="HJ56" s="124"/>
      <c r="HM56" s="126"/>
      <c r="HS56" s="124"/>
      <c r="HV56" s="126"/>
      <c r="IA56" s="124"/>
      <c r="IE56" s="125"/>
      <c r="IF56" s="124"/>
      <c r="II56" s="126"/>
      <c r="IN56" s="124"/>
      <c r="IR56" s="126"/>
      <c r="IW56" s="124"/>
      <c r="IZ56" s="126"/>
      <c r="JF56" s="124"/>
      <c r="JI56" s="126"/>
      <c r="JN56" s="124"/>
      <c r="JR56" s="126"/>
      <c r="JW56" s="124"/>
      <c r="JZ56" s="126"/>
      <c r="KD56" s="141"/>
      <c r="KE56" s="124"/>
      <c r="KH56" s="126"/>
    </row>
    <row r="57" spans="1:294" ht="21" customHeight="1">
      <c r="B57" s="127"/>
      <c r="C57" s="215" t="s">
        <v>182</v>
      </c>
      <c r="D57" s="129"/>
      <c r="E57" s="130"/>
      <c r="F57" s="131"/>
      <c r="G57" s="131"/>
      <c r="H57" s="131"/>
      <c r="I57" s="132"/>
      <c r="J57" s="133"/>
      <c r="K57" s="131"/>
      <c r="L57" s="131"/>
      <c r="M57" s="132"/>
      <c r="N57" s="134"/>
      <c r="O57" s="131"/>
      <c r="P57" s="131"/>
      <c r="Q57" s="132"/>
      <c r="R57" s="134"/>
      <c r="S57" s="131"/>
      <c r="T57" s="131"/>
      <c r="U57" s="132"/>
      <c r="V57" s="130"/>
      <c r="W57" s="131"/>
      <c r="X57" s="131"/>
      <c r="Y57" s="131"/>
      <c r="Z57" s="132"/>
      <c r="AA57" s="134"/>
      <c r="AB57" s="131"/>
      <c r="AC57" s="131"/>
      <c r="AD57" s="132"/>
      <c r="AE57" s="134"/>
      <c r="AF57" s="131"/>
      <c r="AG57" s="131"/>
      <c r="AH57" s="132"/>
      <c r="AI57" s="134"/>
      <c r="AJ57" s="131"/>
      <c r="AK57" s="135"/>
      <c r="AL57" s="131"/>
      <c r="AM57" s="132"/>
      <c r="AN57" s="134"/>
      <c r="AO57" s="131"/>
      <c r="AP57" s="131"/>
      <c r="AQ57" s="132"/>
      <c r="AR57" s="134"/>
      <c r="AS57" s="131"/>
      <c r="AT57" s="131"/>
      <c r="AU57" s="131"/>
      <c r="AV57" s="132"/>
      <c r="AW57" s="134"/>
      <c r="AX57" s="131"/>
      <c r="AY57" s="131"/>
      <c r="AZ57" s="132"/>
      <c r="BA57" s="134"/>
      <c r="BB57" s="131"/>
      <c r="BC57" s="131"/>
      <c r="BD57" s="132"/>
      <c r="BE57" s="134"/>
      <c r="BF57" s="136"/>
      <c r="BG57" s="136"/>
      <c r="BH57" s="131"/>
      <c r="BI57" s="132"/>
      <c r="BJ57" s="133"/>
      <c r="BK57" s="135"/>
      <c r="BL57" s="131"/>
      <c r="BM57" s="136"/>
      <c r="BN57" s="134"/>
      <c r="BO57" s="131"/>
      <c r="BP57" s="131"/>
      <c r="BQ57" s="132"/>
      <c r="BR57" s="133"/>
      <c r="BS57" s="131"/>
      <c r="BT57" s="131"/>
      <c r="BU57" s="131"/>
      <c r="BV57" s="136"/>
      <c r="BW57" s="134"/>
      <c r="BX57" s="131"/>
      <c r="BY57" s="131"/>
      <c r="BZ57" s="132"/>
      <c r="CA57" s="133"/>
      <c r="CB57" s="131"/>
      <c r="CC57" s="131"/>
      <c r="CD57" s="132"/>
      <c r="CE57" s="137"/>
      <c r="CF57" s="133"/>
      <c r="CG57" s="138"/>
      <c r="CH57" s="138"/>
      <c r="CI57" s="139"/>
      <c r="CJ57" s="134"/>
      <c r="CK57" s="138"/>
      <c r="CL57" s="138"/>
      <c r="CM57" s="140"/>
      <c r="CR57" s="124"/>
      <c r="CV57" s="125"/>
      <c r="CW57" s="124"/>
      <c r="CZ57" s="126"/>
      <c r="DA57" s="124"/>
      <c r="DC57" s="193"/>
      <c r="DE57" s="124"/>
      <c r="DJ57" s="124"/>
      <c r="DK57" s="125"/>
      <c r="DM57" s="126"/>
      <c r="DN57" s="124"/>
      <c r="DS57" s="124"/>
      <c r="EA57" s="124"/>
      <c r="EE57" s="125"/>
      <c r="EF57" s="124"/>
      <c r="EJ57" s="124"/>
      <c r="EN57" s="124"/>
      <c r="ER57" s="126"/>
      <c r="EV57" s="125"/>
      <c r="EW57" s="124"/>
      <c r="EZ57" s="126"/>
      <c r="FF57" s="124"/>
      <c r="FI57" s="126"/>
      <c r="FK57" s="125"/>
      <c r="FN57" s="124"/>
      <c r="FR57" s="126"/>
      <c r="FW57" s="124"/>
      <c r="FZ57" s="126"/>
      <c r="GA57" s="124"/>
      <c r="GE57" s="141"/>
      <c r="GJ57" s="124"/>
      <c r="GM57" s="126"/>
      <c r="GS57" s="124"/>
      <c r="GV57" s="126"/>
      <c r="HA57" s="124"/>
      <c r="HE57" s="126"/>
      <c r="HJ57" s="124"/>
      <c r="HM57" s="126"/>
      <c r="HS57" s="124"/>
      <c r="HV57" s="126"/>
      <c r="IA57" s="124"/>
      <c r="IE57" s="125"/>
      <c r="IF57" s="124"/>
      <c r="II57" s="126"/>
      <c r="IN57" s="124"/>
      <c r="IR57" s="126"/>
      <c r="IW57" s="124"/>
      <c r="IZ57" s="126"/>
      <c r="JF57" s="124"/>
      <c r="JI57" s="126"/>
      <c r="JN57" s="124"/>
      <c r="JR57" s="126"/>
      <c r="JW57" s="124"/>
      <c r="JZ57" s="126"/>
      <c r="KD57" s="141"/>
      <c r="KE57" s="124"/>
      <c r="KH57" s="126"/>
    </row>
    <row r="58" spans="1:294" ht="21" customHeight="1">
      <c r="B58" s="127"/>
      <c r="C58" s="215" t="s">
        <v>183</v>
      </c>
      <c r="D58" s="129"/>
      <c r="E58" s="130"/>
      <c r="F58" s="131"/>
      <c r="G58" s="131"/>
      <c r="H58" s="131"/>
      <c r="I58" s="132"/>
      <c r="J58" s="133"/>
      <c r="K58" s="131"/>
      <c r="L58" s="131"/>
      <c r="M58" s="132"/>
      <c r="N58" s="134"/>
      <c r="O58" s="131"/>
      <c r="P58" s="131"/>
      <c r="Q58" s="132"/>
      <c r="R58" s="134"/>
      <c r="S58" s="131"/>
      <c r="T58" s="131"/>
      <c r="U58" s="132"/>
      <c r="V58" s="130"/>
      <c r="W58" s="131"/>
      <c r="X58" s="131"/>
      <c r="Y58" s="131"/>
      <c r="Z58" s="132"/>
      <c r="AA58" s="134"/>
      <c r="AB58" s="131"/>
      <c r="AC58" s="131"/>
      <c r="AD58" s="132"/>
      <c r="AE58" s="134"/>
      <c r="AF58" s="131"/>
      <c r="AG58" s="131"/>
      <c r="AH58" s="132"/>
      <c r="AI58" s="134"/>
      <c r="AJ58" s="131"/>
      <c r="AK58" s="135"/>
      <c r="AL58" s="131"/>
      <c r="AM58" s="132"/>
      <c r="AN58" s="134"/>
      <c r="AO58" s="131"/>
      <c r="AP58" s="131"/>
      <c r="AQ58" s="132"/>
      <c r="AR58" s="134"/>
      <c r="AS58" s="131"/>
      <c r="AT58" s="131"/>
      <c r="AU58" s="131"/>
      <c r="AV58" s="132"/>
      <c r="AW58" s="134"/>
      <c r="AX58" s="131"/>
      <c r="AY58" s="131"/>
      <c r="AZ58" s="132"/>
      <c r="BA58" s="134"/>
      <c r="BB58" s="131"/>
      <c r="BC58" s="131"/>
      <c r="BD58" s="132"/>
      <c r="BE58" s="134"/>
      <c r="BF58" s="136"/>
      <c r="BG58" s="136"/>
      <c r="BH58" s="131"/>
      <c r="BI58" s="132"/>
      <c r="BJ58" s="133"/>
      <c r="BK58" s="135"/>
      <c r="BL58" s="131"/>
      <c r="BM58" s="136"/>
      <c r="BN58" s="134"/>
      <c r="BO58" s="131"/>
      <c r="BP58" s="131"/>
      <c r="BQ58" s="132"/>
      <c r="BR58" s="133"/>
      <c r="BS58" s="131"/>
      <c r="BT58" s="131"/>
      <c r="BU58" s="131"/>
      <c r="BV58" s="136"/>
      <c r="BW58" s="134"/>
      <c r="BX58" s="131"/>
      <c r="BY58" s="131"/>
      <c r="BZ58" s="132"/>
      <c r="CA58" s="133"/>
      <c r="CB58" s="131"/>
      <c r="CC58" s="131"/>
      <c r="CD58" s="132"/>
      <c r="CE58" s="137"/>
      <c r="CF58" s="133"/>
      <c r="CG58" s="138"/>
      <c r="CH58" s="138"/>
      <c r="CI58" s="139"/>
      <c r="CJ58" s="134"/>
      <c r="CK58" s="138"/>
      <c r="CL58" s="138"/>
      <c r="CM58" s="140"/>
      <c r="CR58" s="124"/>
      <c r="CV58" s="125"/>
      <c r="CW58" s="124"/>
      <c r="CZ58" s="126"/>
      <c r="DA58" s="124"/>
      <c r="DC58" s="193"/>
      <c r="DE58" s="124"/>
      <c r="DJ58" s="124"/>
      <c r="DK58" s="125"/>
      <c r="DM58" s="126"/>
      <c r="DN58" s="124"/>
      <c r="DS58" s="124"/>
      <c r="EA58" s="124"/>
      <c r="EE58" s="125"/>
      <c r="EF58" s="124"/>
      <c r="EJ58" s="124"/>
      <c r="EN58" s="124"/>
      <c r="ER58" s="126"/>
      <c r="EV58" s="125"/>
      <c r="EW58" s="124"/>
      <c r="EZ58" s="126"/>
      <c r="FF58" s="124"/>
      <c r="FI58" s="126"/>
      <c r="FK58" s="125"/>
      <c r="FN58" s="124"/>
      <c r="FR58" s="126"/>
      <c r="FW58" s="124"/>
      <c r="FZ58" s="126"/>
      <c r="GA58" s="124"/>
      <c r="GE58" s="141"/>
      <c r="GJ58" s="124"/>
      <c r="GM58" s="126"/>
      <c r="GS58" s="124"/>
      <c r="GV58" s="126"/>
      <c r="HA58" s="124"/>
      <c r="HE58" s="126"/>
      <c r="HJ58" s="124"/>
      <c r="HM58" s="126"/>
      <c r="HS58" s="124"/>
      <c r="HV58" s="126"/>
      <c r="IA58" s="124"/>
      <c r="IE58" s="125"/>
      <c r="IF58" s="124"/>
      <c r="II58" s="126"/>
      <c r="IN58" s="124"/>
      <c r="IR58" s="126"/>
      <c r="IW58" s="124"/>
      <c r="IZ58" s="126"/>
      <c r="JF58" s="124"/>
      <c r="JI58" s="126"/>
      <c r="JN58" s="124"/>
      <c r="JR58" s="126"/>
      <c r="JW58" s="124"/>
      <c r="JZ58" s="126"/>
      <c r="KD58" s="141"/>
      <c r="KE58" s="124"/>
      <c r="KH58" s="126"/>
    </row>
    <row r="59" spans="1:294" ht="21" customHeight="1">
      <c r="B59" s="127"/>
      <c r="C59" s="215"/>
      <c r="D59" s="129"/>
      <c r="E59" s="130"/>
      <c r="F59" s="131"/>
      <c r="G59" s="131"/>
      <c r="H59" s="131"/>
      <c r="I59" s="132"/>
      <c r="J59" s="133"/>
      <c r="K59" s="131"/>
      <c r="L59" s="131"/>
      <c r="M59" s="132"/>
      <c r="N59" s="134"/>
      <c r="O59" s="131"/>
      <c r="P59" s="131"/>
      <c r="Q59" s="132"/>
      <c r="R59" s="134"/>
      <c r="S59" s="131"/>
      <c r="T59" s="131"/>
      <c r="U59" s="132"/>
      <c r="V59" s="130"/>
      <c r="W59" s="131"/>
      <c r="X59" s="131"/>
      <c r="Y59" s="131"/>
      <c r="Z59" s="132"/>
      <c r="AA59" s="134"/>
      <c r="AB59" s="131"/>
      <c r="AC59" s="131"/>
      <c r="AD59" s="132"/>
      <c r="AE59" s="134"/>
      <c r="AF59" s="131"/>
      <c r="AG59" s="131"/>
      <c r="AH59" s="132"/>
      <c r="AI59" s="134"/>
      <c r="AJ59" s="131"/>
      <c r="AK59" s="135"/>
      <c r="AL59" s="131"/>
      <c r="AM59" s="132"/>
      <c r="AN59" s="134"/>
      <c r="AO59" s="131"/>
      <c r="AP59" s="131"/>
      <c r="AQ59" s="132"/>
      <c r="AR59" s="134"/>
      <c r="AS59" s="131"/>
      <c r="AT59" s="131"/>
      <c r="AU59" s="131"/>
      <c r="AV59" s="132"/>
      <c r="AW59" s="134"/>
      <c r="AX59" s="131"/>
      <c r="AY59" s="131"/>
      <c r="AZ59" s="132"/>
      <c r="BA59" s="134"/>
      <c r="BB59" s="131"/>
      <c r="BC59" s="131"/>
      <c r="BD59" s="132"/>
      <c r="BE59" s="134"/>
      <c r="BF59" s="136"/>
      <c r="BG59" s="136"/>
      <c r="BH59" s="131"/>
      <c r="BI59" s="132"/>
      <c r="BJ59" s="133"/>
      <c r="BK59" s="135"/>
      <c r="BL59" s="131"/>
      <c r="BM59" s="136"/>
      <c r="BN59" s="134"/>
      <c r="BO59" s="131"/>
      <c r="BP59" s="131"/>
      <c r="BQ59" s="132"/>
      <c r="BR59" s="133"/>
      <c r="BS59" s="131"/>
      <c r="BT59" s="131"/>
      <c r="BU59" s="131"/>
      <c r="BV59" s="136"/>
      <c r="BW59" s="134"/>
      <c r="BX59" s="131"/>
      <c r="BY59" s="131"/>
      <c r="BZ59" s="132"/>
      <c r="CA59" s="133"/>
      <c r="CB59" s="131"/>
      <c r="CC59" s="131"/>
      <c r="CD59" s="132"/>
      <c r="CE59" s="137"/>
      <c r="CF59" s="133"/>
      <c r="CG59" s="138"/>
      <c r="CH59" s="138"/>
      <c r="CI59" s="139"/>
      <c r="CJ59" s="134"/>
      <c r="CK59" s="138"/>
      <c r="CL59" s="138"/>
      <c r="CM59" s="140"/>
      <c r="CR59" s="124"/>
      <c r="CV59" s="125"/>
      <c r="CW59" s="124"/>
      <c r="CZ59" s="126"/>
      <c r="DA59" s="124"/>
      <c r="DC59" s="193"/>
      <c r="DE59" s="124"/>
      <c r="DJ59" s="124"/>
      <c r="DK59" s="125"/>
      <c r="DM59" s="126"/>
      <c r="DN59" s="124"/>
      <c r="DS59" s="124"/>
      <c r="EA59" s="124"/>
      <c r="EE59" s="125"/>
      <c r="EF59" s="124"/>
      <c r="EJ59" s="124"/>
      <c r="EN59" s="124"/>
      <c r="ER59" s="126"/>
      <c r="EV59" s="125"/>
      <c r="EW59" s="124"/>
      <c r="EZ59" s="126"/>
      <c r="FF59" s="124"/>
      <c r="FI59" s="126"/>
      <c r="FK59" s="125"/>
      <c r="FN59" s="124"/>
      <c r="FR59" s="126"/>
      <c r="FW59" s="124"/>
      <c r="FZ59" s="126"/>
      <c r="GA59" s="124"/>
      <c r="GE59" s="141"/>
      <c r="GF59" s="124"/>
      <c r="GJ59" s="124"/>
      <c r="GM59" s="126"/>
      <c r="GS59" s="124"/>
      <c r="GV59" s="126"/>
      <c r="HA59" s="124"/>
      <c r="HE59" s="126"/>
      <c r="HJ59" s="124"/>
      <c r="HM59" s="126"/>
      <c r="HS59" s="124"/>
      <c r="HV59" s="126"/>
      <c r="IA59" s="124"/>
      <c r="IE59" s="125"/>
      <c r="IF59" s="124"/>
      <c r="II59" s="126"/>
      <c r="IN59" s="124"/>
      <c r="IR59" s="126"/>
      <c r="IW59" s="124"/>
      <c r="IZ59" s="126"/>
      <c r="JF59" s="124"/>
      <c r="JI59" s="126"/>
      <c r="JN59" s="124"/>
      <c r="JR59" s="126"/>
      <c r="JW59" s="124"/>
      <c r="JZ59" s="126"/>
      <c r="KD59" s="141"/>
      <c r="KE59" s="124"/>
      <c r="KH59" s="126"/>
    </row>
    <row r="60" spans="1:294" ht="21" customHeight="1" thickBot="1">
      <c r="B60" s="127"/>
      <c r="C60" s="214"/>
      <c r="D60" s="158"/>
      <c r="E60" s="159"/>
      <c r="F60" s="160"/>
      <c r="G60" s="160"/>
      <c r="H60" s="160"/>
      <c r="I60" s="161"/>
      <c r="J60" s="162"/>
      <c r="K60" s="160"/>
      <c r="L60" s="160"/>
      <c r="M60" s="161"/>
      <c r="N60" s="163"/>
      <c r="O60" s="160"/>
      <c r="P60" s="160"/>
      <c r="Q60" s="161"/>
      <c r="R60" s="163"/>
      <c r="S60" s="160"/>
      <c r="T60" s="160"/>
      <c r="U60" s="161"/>
      <c r="V60" s="159"/>
      <c r="W60" s="160"/>
      <c r="X60" s="160"/>
      <c r="Y60" s="160"/>
      <c r="Z60" s="161"/>
      <c r="AA60" s="163"/>
      <c r="AB60" s="160"/>
      <c r="AC60" s="160"/>
      <c r="AD60" s="161"/>
      <c r="AE60" s="163"/>
      <c r="AF60" s="160"/>
      <c r="AG60" s="160"/>
      <c r="AH60" s="161"/>
      <c r="AI60" s="163"/>
      <c r="AJ60" s="160"/>
      <c r="AK60" s="164"/>
      <c r="AL60" s="160"/>
      <c r="AM60" s="161"/>
      <c r="AN60" s="163"/>
      <c r="AO60" s="160"/>
      <c r="AP60" s="160"/>
      <c r="AQ60" s="161"/>
      <c r="AR60" s="163"/>
      <c r="AS60" s="160"/>
      <c r="AT60" s="160"/>
      <c r="AU60" s="160"/>
      <c r="AV60" s="161"/>
      <c r="AW60" s="163"/>
      <c r="AX60" s="160"/>
      <c r="AY60" s="160"/>
      <c r="AZ60" s="161"/>
      <c r="BA60" s="163"/>
      <c r="BB60" s="160"/>
      <c r="BC60" s="160"/>
      <c r="BD60" s="161"/>
      <c r="BE60" s="163"/>
      <c r="BF60" s="165"/>
      <c r="BG60" s="165"/>
      <c r="BH60" s="160"/>
      <c r="BI60" s="161"/>
      <c r="BJ60" s="162"/>
      <c r="BK60" s="164"/>
      <c r="BL60" s="160"/>
      <c r="BM60" s="165"/>
      <c r="BN60" s="163"/>
      <c r="BO60" s="160"/>
      <c r="BP60" s="160"/>
      <c r="BQ60" s="161"/>
      <c r="BR60" s="162"/>
      <c r="BS60" s="160"/>
      <c r="BT60" s="160"/>
      <c r="BU60" s="160"/>
      <c r="BV60" s="165"/>
      <c r="BW60" s="163"/>
      <c r="BX60" s="160"/>
      <c r="BY60" s="160"/>
      <c r="BZ60" s="161"/>
      <c r="CA60" s="162"/>
      <c r="CB60" s="160"/>
      <c r="CC60" s="160"/>
      <c r="CD60" s="161"/>
      <c r="CE60" s="166"/>
      <c r="CF60" s="162"/>
      <c r="CG60" s="167"/>
      <c r="CH60" s="167"/>
      <c r="CI60" s="168"/>
      <c r="CJ60" s="163"/>
      <c r="CK60" s="167"/>
      <c r="CL60" s="167"/>
      <c r="CM60" s="169"/>
      <c r="CN60" s="145"/>
      <c r="CO60" s="145"/>
      <c r="CP60" s="145"/>
      <c r="CQ60" s="145"/>
      <c r="CR60" s="146"/>
      <c r="CS60" s="145"/>
      <c r="CT60" s="145"/>
      <c r="CU60" s="145"/>
      <c r="CV60" s="147"/>
      <c r="CW60" s="146"/>
      <c r="CX60" s="145"/>
      <c r="CY60" s="145"/>
      <c r="CZ60" s="148"/>
      <c r="DA60" s="146"/>
      <c r="DB60" s="145"/>
      <c r="DC60" s="176"/>
      <c r="DD60" s="145"/>
      <c r="DE60" s="146"/>
      <c r="DF60" s="145"/>
      <c r="DG60" s="145"/>
      <c r="DH60" s="145"/>
      <c r="DI60" s="145"/>
      <c r="DJ60" s="146"/>
      <c r="DK60" s="147"/>
      <c r="DL60" s="145"/>
      <c r="DM60" s="148"/>
      <c r="DN60" s="146"/>
      <c r="DO60" s="145"/>
      <c r="DP60" s="145"/>
      <c r="DQ60" s="145"/>
      <c r="DR60" s="145"/>
      <c r="DS60" s="146"/>
      <c r="DT60" s="145"/>
      <c r="DU60" s="145"/>
      <c r="DV60" s="145"/>
      <c r="DW60" s="145"/>
      <c r="DX60" s="145"/>
      <c r="DY60" s="145"/>
      <c r="DZ60" s="145"/>
      <c r="EA60" s="146"/>
      <c r="EB60" s="145"/>
      <c r="EC60" s="145"/>
      <c r="ED60" s="145"/>
      <c r="EE60" s="147"/>
      <c r="EF60" s="146"/>
      <c r="EG60" s="145"/>
      <c r="EJ60" s="124"/>
      <c r="EN60" s="124"/>
      <c r="ER60" s="126"/>
      <c r="EV60" s="125"/>
      <c r="EW60" s="124"/>
      <c r="EZ60" s="126"/>
      <c r="FF60" s="124"/>
      <c r="FI60" s="126"/>
      <c r="FK60" s="125"/>
      <c r="FN60" s="124"/>
      <c r="FR60" s="126"/>
      <c r="FW60" s="124"/>
      <c r="FZ60" s="126"/>
      <c r="GA60" s="124"/>
      <c r="GE60" s="141"/>
      <c r="GF60" s="146"/>
      <c r="GG60" s="145"/>
      <c r="GH60" s="145"/>
      <c r="GI60" s="145"/>
      <c r="GJ60" s="146"/>
      <c r="GK60" s="145"/>
      <c r="GL60" s="145"/>
      <c r="GM60" s="148"/>
      <c r="GN60" s="145"/>
      <c r="GO60" s="145"/>
      <c r="GP60" s="145"/>
      <c r="GQ60" s="145"/>
      <c r="GR60" s="145"/>
      <c r="GS60" s="146"/>
      <c r="GT60" s="145"/>
      <c r="GU60" s="145"/>
      <c r="GV60" s="148"/>
      <c r="GW60" s="145"/>
      <c r="GX60" s="145"/>
      <c r="GY60" s="145"/>
      <c r="GZ60" s="145"/>
      <c r="HA60" s="146"/>
      <c r="HB60" s="145"/>
      <c r="HC60" s="145"/>
      <c r="HD60" s="145"/>
      <c r="HE60" s="148"/>
      <c r="HF60" s="145"/>
      <c r="HG60" s="145"/>
      <c r="HH60" s="145"/>
      <c r="HI60" s="145"/>
      <c r="HJ60" s="146"/>
      <c r="HK60" s="145"/>
      <c r="HL60" s="145"/>
      <c r="HM60" s="148"/>
      <c r="HN60" s="145"/>
      <c r="HO60" s="145"/>
      <c r="HP60" s="145"/>
      <c r="HQ60" s="145"/>
      <c r="HR60" s="145"/>
      <c r="HS60" s="146"/>
      <c r="HT60" s="145"/>
      <c r="HU60" s="145"/>
      <c r="HV60" s="148"/>
      <c r="HW60" s="145"/>
      <c r="HX60" s="145"/>
      <c r="HY60" s="145"/>
      <c r="HZ60" s="145"/>
      <c r="IA60" s="146"/>
      <c r="IB60" s="145"/>
      <c r="IC60" s="145"/>
      <c r="ID60" s="145"/>
      <c r="IE60" s="147"/>
      <c r="IF60" s="146"/>
      <c r="IG60" s="145"/>
      <c r="IH60" s="145"/>
      <c r="II60" s="148"/>
      <c r="IJ60" s="145"/>
      <c r="IK60" s="145"/>
      <c r="IL60" s="145"/>
      <c r="IM60" s="145"/>
      <c r="IN60" s="146"/>
      <c r="IO60" s="145"/>
      <c r="IP60" s="145"/>
      <c r="IQ60" s="145"/>
      <c r="IR60" s="148"/>
      <c r="IS60" s="145"/>
      <c r="IT60" s="145"/>
      <c r="IU60" s="145"/>
      <c r="IV60" s="145"/>
      <c r="IW60" s="146"/>
      <c r="IX60" s="145"/>
      <c r="IY60" s="145"/>
      <c r="IZ60" s="148"/>
      <c r="JA60" s="145"/>
      <c r="JB60" s="145"/>
      <c r="JC60" s="145"/>
      <c r="JD60" s="145"/>
      <c r="JE60" s="145"/>
      <c r="JF60" s="146"/>
      <c r="JG60" s="145"/>
      <c r="JH60" s="145"/>
      <c r="JI60" s="148"/>
      <c r="JJ60" s="145"/>
      <c r="JK60" s="145"/>
      <c r="JL60" s="145"/>
      <c r="JM60" s="145"/>
      <c r="JN60" s="146"/>
      <c r="JO60" s="145"/>
      <c r="JP60" s="145"/>
      <c r="JQ60" s="145"/>
      <c r="JR60" s="148"/>
      <c r="JS60" s="145"/>
      <c r="JT60" s="145"/>
      <c r="JU60" s="145"/>
      <c r="JV60" s="145"/>
      <c r="JW60" s="146"/>
      <c r="JX60" s="145"/>
      <c r="JY60" s="145"/>
      <c r="JZ60" s="148"/>
      <c r="KA60" s="145"/>
      <c r="KB60" s="145"/>
      <c r="KC60" s="145"/>
      <c r="KD60" s="149"/>
      <c r="KE60" s="146"/>
      <c r="KF60" s="145"/>
      <c r="KG60" s="145"/>
      <c r="KH60" s="148"/>
    </row>
    <row r="61" spans="1:294" ht="19.2" thickTop="1">
      <c r="B61" s="123"/>
      <c r="C61" s="234" t="s">
        <v>184</v>
      </c>
      <c r="D61" s="129"/>
      <c r="E61" s="130"/>
      <c r="F61" s="131"/>
      <c r="G61" s="131"/>
      <c r="H61" s="131"/>
      <c r="I61" s="132"/>
      <c r="J61" s="133"/>
      <c r="K61" s="131"/>
      <c r="L61" s="131"/>
      <c r="M61" s="132"/>
      <c r="N61" s="134"/>
      <c r="O61" s="131"/>
      <c r="P61" s="131"/>
      <c r="Q61" s="132"/>
      <c r="R61" s="134"/>
      <c r="S61" s="131"/>
      <c r="T61" s="131"/>
      <c r="U61" s="132"/>
      <c r="V61" s="130"/>
      <c r="W61" s="131"/>
      <c r="X61" s="131"/>
      <c r="Y61" s="131"/>
      <c r="Z61" s="132"/>
      <c r="AA61" s="134"/>
      <c r="AB61" s="131"/>
      <c r="AC61" s="131"/>
      <c r="AD61" s="132"/>
      <c r="AE61" s="134"/>
      <c r="AF61" s="131"/>
      <c r="AG61" s="131"/>
      <c r="AH61" s="132"/>
      <c r="AI61" s="134"/>
      <c r="AJ61" s="131"/>
      <c r="AK61" s="135"/>
      <c r="AL61" s="131"/>
      <c r="AM61" s="132"/>
      <c r="AN61" s="134"/>
      <c r="AO61" s="131"/>
      <c r="AP61" s="131"/>
      <c r="AQ61" s="132"/>
      <c r="AR61" s="134"/>
      <c r="AS61" s="131"/>
      <c r="AT61" s="131"/>
      <c r="AU61" s="131"/>
      <c r="AV61" s="132"/>
      <c r="AW61" s="134"/>
      <c r="AX61" s="131"/>
      <c r="AY61" s="131"/>
      <c r="AZ61" s="132"/>
      <c r="BA61" s="134"/>
      <c r="BB61" s="131"/>
      <c r="BC61" s="131"/>
      <c r="BD61" s="132"/>
      <c r="BE61" s="134"/>
      <c r="BF61" s="136"/>
      <c r="BG61" s="136"/>
      <c r="BH61" s="131"/>
      <c r="BI61" s="132"/>
      <c r="BJ61" s="133"/>
      <c r="BK61" s="135"/>
      <c r="BL61" s="131"/>
      <c r="BM61" s="136"/>
      <c r="BN61" s="134"/>
      <c r="BO61" s="131"/>
      <c r="BP61" s="131"/>
      <c r="BQ61" s="132"/>
      <c r="BR61" s="133"/>
      <c r="BS61" s="131"/>
      <c r="BT61" s="131"/>
      <c r="BU61" s="131"/>
      <c r="BV61" s="136"/>
      <c r="BW61" s="134"/>
      <c r="BX61" s="131"/>
      <c r="BY61" s="131"/>
      <c r="BZ61" s="132"/>
      <c r="CA61" s="133"/>
      <c r="CB61" s="131"/>
      <c r="CC61" s="131"/>
      <c r="CD61" s="132"/>
      <c r="CE61" s="137"/>
      <c r="CF61" s="133"/>
      <c r="CG61" s="138"/>
      <c r="CH61" s="138"/>
      <c r="CI61" s="139"/>
      <c r="CJ61" s="134"/>
      <c r="CK61" s="138"/>
      <c r="CL61" s="138"/>
      <c r="CM61" s="140"/>
      <c r="CR61" s="124"/>
      <c r="CV61" s="125"/>
      <c r="CW61" s="124"/>
      <c r="CX61" s="170"/>
      <c r="CZ61" s="126"/>
      <c r="DA61" s="171"/>
      <c r="DB61" s="172"/>
      <c r="DE61" s="124"/>
      <c r="DJ61" s="124"/>
      <c r="DK61" s="125"/>
      <c r="DM61" s="126"/>
      <c r="DN61" s="124"/>
      <c r="DS61" s="124"/>
      <c r="DT61" s="172"/>
      <c r="EA61" s="124"/>
      <c r="EE61" s="125"/>
      <c r="EF61" s="124"/>
      <c r="EH61" s="151"/>
      <c r="EI61" s="151"/>
      <c r="EJ61" s="150"/>
      <c r="EK61" s="151"/>
      <c r="EL61" s="151"/>
      <c r="EM61" s="151"/>
      <c r="EN61" s="150"/>
      <c r="EO61" s="151"/>
      <c r="EP61" s="151"/>
      <c r="EQ61" s="151"/>
      <c r="ER61" s="154"/>
      <c r="ES61" s="151"/>
      <c r="ET61" s="151"/>
      <c r="EU61" s="151"/>
      <c r="EV61" s="152"/>
      <c r="EW61" s="150"/>
      <c r="EX61" s="151"/>
      <c r="EY61" s="151"/>
      <c r="EZ61" s="154"/>
      <c r="FA61" s="151"/>
      <c r="FB61" s="151"/>
      <c r="FC61" s="151"/>
      <c r="FD61" s="151"/>
      <c r="FE61" s="151"/>
      <c r="FF61" s="150"/>
      <c r="FG61" s="151"/>
      <c r="FH61" s="151"/>
      <c r="FI61" s="154"/>
      <c r="FJ61" s="151"/>
      <c r="FK61" s="152"/>
      <c r="FL61" s="151"/>
      <c r="FM61" s="151"/>
      <c r="FN61" s="150"/>
      <c r="FO61" s="151"/>
      <c r="FP61" s="151"/>
      <c r="FQ61" s="151"/>
      <c r="FR61" s="154"/>
      <c r="FS61" s="151"/>
      <c r="FT61" s="151"/>
      <c r="FU61" s="151"/>
      <c r="FV61" s="151"/>
      <c r="FW61" s="150"/>
      <c r="FX61" s="151"/>
      <c r="FY61" s="151"/>
      <c r="FZ61" s="154"/>
      <c r="GA61" s="150"/>
      <c r="GB61" s="151"/>
      <c r="GC61" s="151"/>
      <c r="GD61" s="151"/>
      <c r="GE61" s="156"/>
      <c r="GJ61" s="124"/>
      <c r="GM61" s="126"/>
      <c r="GS61" s="124"/>
      <c r="GV61" s="126"/>
      <c r="HA61" s="124"/>
      <c r="HE61" s="126"/>
      <c r="HJ61" s="124"/>
      <c r="HM61" s="126"/>
      <c r="HS61" s="124"/>
      <c r="HV61" s="126"/>
      <c r="IA61" s="124"/>
      <c r="IE61" s="125"/>
      <c r="IF61" s="124"/>
      <c r="II61" s="126"/>
      <c r="IN61" s="124"/>
      <c r="IR61" s="126"/>
      <c r="IW61" s="124"/>
      <c r="IZ61" s="126"/>
      <c r="JF61" s="124"/>
      <c r="JI61" s="126"/>
      <c r="JN61" s="124"/>
      <c r="JR61" s="126"/>
      <c r="JW61" s="124"/>
      <c r="JZ61" s="126"/>
      <c r="KD61" s="141"/>
      <c r="KE61" s="124"/>
      <c r="KH61" s="126"/>
    </row>
    <row r="62" spans="1:294" ht="36.6">
      <c r="B62" s="143" t="s">
        <v>184</v>
      </c>
      <c r="C62" s="234" t="s">
        <v>176</v>
      </c>
      <c r="D62" s="129"/>
      <c r="E62" s="130"/>
      <c r="F62" s="131"/>
      <c r="G62" s="131"/>
      <c r="H62" s="131"/>
      <c r="I62" s="132"/>
      <c r="J62" s="133"/>
      <c r="K62" s="131"/>
      <c r="L62" s="131"/>
      <c r="M62" s="132"/>
      <c r="N62" s="134"/>
      <c r="O62" s="131"/>
      <c r="P62" s="131"/>
      <c r="Q62" s="132"/>
      <c r="R62" s="134"/>
      <c r="S62" s="131"/>
      <c r="T62" s="131"/>
      <c r="U62" s="132"/>
      <c r="V62" s="130"/>
      <c r="W62" s="131"/>
      <c r="X62" s="131"/>
      <c r="Y62" s="131"/>
      <c r="Z62" s="132"/>
      <c r="AA62" s="134"/>
      <c r="AB62" s="131"/>
      <c r="AC62" s="131"/>
      <c r="AD62" s="132"/>
      <c r="AE62" s="134"/>
      <c r="AF62" s="131"/>
      <c r="AG62" s="131"/>
      <c r="AH62" s="132"/>
      <c r="AI62" s="134"/>
      <c r="AJ62" s="131"/>
      <c r="AK62" s="135"/>
      <c r="AL62" s="131"/>
      <c r="AM62" s="132"/>
      <c r="AN62" s="134"/>
      <c r="AO62" s="131"/>
      <c r="AP62" s="131"/>
      <c r="AQ62" s="132"/>
      <c r="AR62" s="134"/>
      <c r="AS62" s="131"/>
      <c r="AT62" s="131"/>
      <c r="AU62" s="131"/>
      <c r="AV62" s="132"/>
      <c r="AW62" s="134"/>
      <c r="AX62" s="131"/>
      <c r="AY62" s="131"/>
      <c r="AZ62" s="132"/>
      <c r="BA62" s="134"/>
      <c r="BB62" s="131"/>
      <c r="BC62" s="131"/>
      <c r="BD62" s="132"/>
      <c r="BE62" s="134"/>
      <c r="BF62" s="136"/>
      <c r="BG62" s="136"/>
      <c r="BH62" s="131"/>
      <c r="BI62" s="132"/>
      <c r="BJ62" s="133"/>
      <c r="BK62" s="135"/>
      <c r="BL62" s="131"/>
      <c r="BM62" s="136"/>
      <c r="BN62" s="134"/>
      <c r="BO62" s="131"/>
      <c r="BP62" s="131"/>
      <c r="BQ62" s="132"/>
      <c r="BR62" s="133"/>
      <c r="BS62" s="131"/>
      <c r="BT62" s="131"/>
      <c r="BU62" s="131"/>
      <c r="BV62" s="136"/>
      <c r="BW62" s="134"/>
      <c r="BX62" s="131"/>
      <c r="BY62" s="131"/>
      <c r="BZ62" s="132"/>
      <c r="CA62" s="133"/>
      <c r="CB62" s="131"/>
      <c r="CC62" s="131"/>
      <c r="CD62" s="132"/>
      <c r="CE62" s="137"/>
      <c r="CF62" s="133"/>
      <c r="CG62" s="138"/>
      <c r="CH62" s="138"/>
      <c r="CI62" s="139"/>
      <c r="CJ62" s="134"/>
      <c r="CK62" s="138"/>
      <c r="CL62" s="138"/>
      <c r="CM62" s="140"/>
      <c r="CR62" s="124"/>
      <c r="CV62" s="125"/>
      <c r="CW62" s="124"/>
      <c r="CZ62" s="126"/>
      <c r="DA62" s="124"/>
      <c r="DE62" s="124"/>
      <c r="DJ62" s="124"/>
      <c r="DK62" s="125"/>
      <c r="DM62" s="126"/>
      <c r="DN62" s="124"/>
      <c r="DS62" s="124"/>
      <c r="EA62" s="124"/>
      <c r="EE62" s="125"/>
      <c r="EF62" s="124"/>
      <c r="EJ62" s="124"/>
      <c r="EN62" s="124"/>
      <c r="ER62" s="126"/>
      <c r="EV62" s="125"/>
      <c r="EW62" s="124"/>
      <c r="EZ62" s="126"/>
      <c r="FF62" s="124"/>
      <c r="FI62" s="126"/>
      <c r="FK62" s="125"/>
      <c r="FN62" s="124"/>
      <c r="FR62" s="126"/>
      <c r="FW62" s="124"/>
      <c r="FZ62" s="126"/>
      <c r="GA62" s="124"/>
      <c r="GE62" s="141"/>
      <c r="GJ62" s="124"/>
      <c r="GM62" s="126"/>
      <c r="GS62" s="124"/>
      <c r="GV62" s="126"/>
      <c r="HA62" s="124"/>
      <c r="HE62" s="126"/>
      <c r="HJ62" s="124"/>
      <c r="HM62" s="126"/>
      <c r="HS62" s="124"/>
      <c r="HV62" s="126"/>
      <c r="IA62" s="124"/>
      <c r="IE62" s="125"/>
      <c r="IF62" s="124"/>
      <c r="II62" s="126"/>
      <c r="IN62" s="124"/>
      <c r="IR62" s="126"/>
      <c r="IW62" s="124"/>
      <c r="IZ62" s="126"/>
      <c r="JF62" s="124"/>
      <c r="JI62" s="126"/>
      <c r="JN62" s="124"/>
      <c r="JR62" s="126"/>
      <c r="JW62" s="124"/>
      <c r="JZ62" s="126"/>
      <c r="KD62" s="141"/>
      <c r="KE62" s="124"/>
      <c r="KH62" s="126"/>
    </row>
    <row r="63" spans="1:294" ht="18.600000000000001">
      <c r="B63" s="127"/>
      <c r="C63" s="234" t="s">
        <v>185</v>
      </c>
      <c r="D63" s="129" t="s">
        <v>165</v>
      </c>
      <c r="E63" s="130"/>
      <c r="F63" s="131"/>
      <c r="G63" s="131"/>
      <c r="H63" s="131"/>
      <c r="I63" s="132"/>
      <c r="J63" s="133"/>
      <c r="K63" s="131"/>
      <c r="L63" s="131"/>
      <c r="M63" s="132"/>
      <c r="N63" s="134"/>
      <c r="O63" s="131"/>
      <c r="P63" s="131"/>
      <c r="Q63" s="132"/>
      <c r="R63" s="134"/>
      <c r="S63" s="131"/>
      <c r="T63" s="131"/>
      <c r="U63" s="132"/>
      <c r="V63" s="130"/>
      <c r="W63" s="131"/>
      <c r="X63" s="131"/>
      <c r="Y63" s="131"/>
      <c r="Z63" s="132"/>
      <c r="AA63" s="134"/>
      <c r="AB63" s="131"/>
      <c r="AC63" s="131"/>
      <c r="AD63" s="132"/>
      <c r="AE63" s="134"/>
      <c r="AF63" s="131"/>
      <c r="AG63" s="131"/>
      <c r="AH63" s="132"/>
      <c r="AI63" s="134"/>
      <c r="AJ63" s="131"/>
      <c r="AK63" s="135"/>
      <c r="AL63" s="131"/>
      <c r="AM63" s="132"/>
      <c r="AN63" s="134"/>
      <c r="AO63" s="131"/>
      <c r="AP63" s="131"/>
      <c r="AQ63" s="132"/>
      <c r="AR63" s="134"/>
      <c r="AS63" s="131"/>
      <c r="AT63" s="131"/>
      <c r="AU63" s="131"/>
      <c r="AV63" s="132"/>
      <c r="AW63" s="134"/>
      <c r="AX63" s="131"/>
      <c r="AY63" s="131"/>
      <c r="AZ63" s="132"/>
      <c r="BA63" s="134"/>
      <c r="BB63" s="131"/>
      <c r="BC63" s="131"/>
      <c r="BD63" s="132"/>
      <c r="BE63" s="134"/>
      <c r="BF63" s="136"/>
      <c r="BG63" s="136"/>
      <c r="BH63" s="131"/>
      <c r="BI63" s="132"/>
      <c r="BJ63" s="133"/>
      <c r="BK63" s="135"/>
      <c r="BL63" s="131"/>
      <c r="BM63" s="136"/>
      <c r="BN63" s="134"/>
      <c r="BO63" s="131"/>
      <c r="BP63" s="131"/>
      <c r="BQ63" s="132"/>
      <c r="BR63" s="133"/>
      <c r="BS63" s="131"/>
      <c r="BT63" s="131"/>
      <c r="BU63" s="131"/>
      <c r="BV63" s="136"/>
      <c r="BW63" s="134"/>
      <c r="BX63" s="131"/>
      <c r="BY63" s="131"/>
      <c r="BZ63" s="132"/>
      <c r="CA63" s="133"/>
      <c r="CB63" s="131"/>
      <c r="CC63" s="131"/>
      <c r="CD63" s="132"/>
      <c r="CE63" s="137"/>
      <c r="CF63" s="133"/>
      <c r="CG63" s="138"/>
      <c r="CH63" s="138"/>
      <c r="CI63" s="139"/>
      <c r="CJ63" s="134"/>
      <c r="CK63" s="138"/>
      <c r="CL63" s="138"/>
      <c r="CM63" s="140"/>
      <c r="CR63" s="124"/>
      <c r="CV63" s="125"/>
      <c r="CW63" s="124"/>
      <c r="CZ63" s="126"/>
      <c r="DA63" s="124"/>
      <c r="DE63" s="124"/>
      <c r="DJ63" s="124"/>
      <c r="DK63" s="125"/>
      <c r="DM63" s="126"/>
      <c r="DN63" s="124"/>
      <c r="DS63" s="124"/>
      <c r="EA63" s="124"/>
      <c r="EE63" s="125"/>
      <c r="EF63" s="124"/>
      <c r="EJ63" s="124"/>
      <c r="EN63" s="124"/>
      <c r="ER63" s="126"/>
      <c r="EV63" s="125"/>
      <c r="EW63" s="124"/>
      <c r="EZ63" s="126"/>
      <c r="FF63" s="124"/>
      <c r="FI63" s="126"/>
      <c r="FK63" s="125"/>
      <c r="FN63" s="124"/>
      <c r="FR63" s="126"/>
      <c r="FW63" s="124"/>
      <c r="FZ63" s="126"/>
      <c r="GA63" s="124"/>
      <c r="GE63" s="141"/>
      <c r="GJ63" s="124"/>
      <c r="GM63" s="126"/>
      <c r="GS63" s="124"/>
      <c r="GV63" s="126"/>
      <c r="HA63" s="124"/>
      <c r="HE63" s="126"/>
      <c r="HJ63" s="124"/>
      <c r="HM63" s="126"/>
      <c r="HS63" s="124"/>
      <c r="HV63" s="126"/>
      <c r="IA63" s="124"/>
      <c r="IE63" s="125"/>
      <c r="IF63" s="124"/>
      <c r="II63" s="126"/>
      <c r="IN63" s="124"/>
      <c r="IR63" s="126"/>
      <c r="IW63" s="124"/>
      <c r="IZ63" s="126"/>
      <c r="JF63" s="124"/>
      <c r="JI63" s="126"/>
      <c r="JN63" s="124"/>
      <c r="JR63" s="126"/>
      <c r="JW63" s="124"/>
      <c r="JZ63" s="126"/>
      <c r="KD63" s="141"/>
      <c r="KE63" s="124"/>
      <c r="KH63" s="126"/>
    </row>
    <row r="64" spans="1:294" ht="18.600000000000001">
      <c r="B64" s="127"/>
      <c r="C64" s="234"/>
      <c r="D64" s="129"/>
      <c r="E64" s="130"/>
      <c r="F64" s="131"/>
      <c r="G64" s="131"/>
      <c r="H64" s="131"/>
      <c r="I64" s="132"/>
      <c r="J64" s="133"/>
      <c r="K64" s="131"/>
      <c r="L64" s="131"/>
      <c r="M64" s="132"/>
      <c r="N64" s="134"/>
      <c r="O64" s="131"/>
      <c r="P64" s="131"/>
      <c r="Q64" s="132"/>
      <c r="R64" s="134"/>
      <c r="S64" s="131"/>
      <c r="T64" s="131"/>
      <c r="U64" s="132"/>
      <c r="V64" s="130"/>
      <c r="W64" s="131"/>
      <c r="X64" s="131"/>
      <c r="Y64" s="131"/>
      <c r="Z64" s="132"/>
      <c r="AA64" s="134"/>
      <c r="AB64" s="131"/>
      <c r="AC64" s="131"/>
      <c r="AD64" s="132"/>
      <c r="AE64" s="134"/>
      <c r="AF64" s="131"/>
      <c r="AG64" s="131"/>
      <c r="AH64" s="132"/>
      <c r="AI64" s="134"/>
      <c r="AJ64" s="131"/>
      <c r="AK64" s="135"/>
      <c r="AL64" s="131"/>
      <c r="AM64" s="132"/>
      <c r="AN64" s="134"/>
      <c r="AO64" s="131"/>
      <c r="AP64" s="131"/>
      <c r="AQ64" s="132"/>
      <c r="AR64" s="134"/>
      <c r="AS64" s="131"/>
      <c r="AT64" s="131"/>
      <c r="AU64" s="131"/>
      <c r="AV64" s="132"/>
      <c r="AW64" s="134"/>
      <c r="AX64" s="131"/>
      <c r="AY64" s="131"/>
      <c r="AZ64" s="132"/>
      <c r="BA64" s="134"/>
      <c r="BB64" s="131"/>
      <c r="BC64" s="131"/>
      <c r="BD64" s="132"/>
      <c r="BE64" s="134"/>
      <c r="BF64" s="136"/>
      <c r="BG64" s="136"/>
      <c r="BH64" s="131"/>
      <c r="BI64" s="132"/>
      <c r="BJ64" s="133"/>
      <c r="BK64" s="135"/>
      <c r="BL64" s="131"/>
      <c r="BM64" s="136"/>
      <c r="BN64" s="134"/>
      <c r="BO64" s="131"/>
      <c r="BP64" s="131"/>
      <c r="BQ64" s="132"/>
      <c r="BR64" s="133"/>
      <c r="BS64" s="131"/>
      <c r="BT64" s="131"/>
      <c r="BU64" s="131"/>
      <c r="BV64" s="136"/>
      <c r="BW64" s="134"/>
      <c r="BX64" s="131"/>
      <c r="BY64" s="131"/>
      <c r="BZ64" s="132"/>
      <c r="CA64" s="133"/>
      <c r="CB64" s="131"/>
      <c r="CC64" s="131"/>
      <c r="CD64" s="132"/>
      <c r="CE64" s="137"/>
      <c r="CF64" s="133"/>
      <c r="CG64" s="138"/>
      <c r="CH64" s="138"/>
      <c r="CI64" s="139"/>
      <c r="CJ64" s="134"/>
      <c r="CK64" s="138"/>
      <c r="CL64" s="138"/>
      <c r="CM64" s="140"/>
      <c r="CR64" s="124"/>
      <c r="CV64" s="125"/>
      <c r="CW64" s="124"/>
      <c r="CZ64" s="126"/>
      <c r="DA64" s="124"/>
      <c r="DE64" s="124"/>
      <c r="DJ64" s="124"/>
      <c r="DK64" s="125"/>
      <c r="DM64" s="126"/>
      <c r="DN64" s="124"/>
      <c r="DS64" s="124"/>
      <c r="EA64" s="124"/>
      <c r="EE64" s="125"/>
      <c r="EF64" s="124"/>
      <c r="EJ64" s="124"/>
      <c r="EN64" s="124"/>
      <c r="ER64" s="126"/>
      <c r="EV64" s="125"/>
      <c r="EW64" s="124"/>
      <c r="EZ64" s="126"/>
      <c r="FF64" s="124"/>
      <c r="FI64" s="126"/>
      <c r="FK64" s="125"/>
      <c r="FN64" s="124"/>
      <c r="FR64" s="126"/>
      <c r="FW64" s="124"/>
      <c r="FZ64" s="126"/>
      <c r="GA64" s="124"/>
      <c r="GE64" s="141"/>
      <c r="GJ64" s="124"/>
      <c r="GM64" s="126"/>
      <c r="GS64" s="124"/>
      <c r="GV64" s="126"/>
      <c r="HA64" s="124"/>
      <c r="HE64" s="126"/>
      <c r="HJ64" s="124"/>
      <c r="HM64" s="126"/>
      <c r="HS64" s="124"/>
      <c r="HV64" s="126"/>
      <c r="IA64" s="124"/>
      <c r="IE64" s="125"/>
      <c r="IF64" s="124"/>
      <c r="II64" s="126"/>
      <c r="IN64" s="124"/>
      <c r="IR64" s="126"/>
      <c r="IW64" s="124"/>
      <c r="IZ64" s="126"/>
      <c r="JF64" s="124"/>
      <c r="JI64" s="126"/>
      <c r="JN64" s="124"/>
      <c r="JR64" s="126"/>
      <c r="JW64" s="124"/>
      <c r="JZ64" s="126"/>
      <c r="KD64" s="141"/>
      <c r="KE64" s="124"/>
      <c r="KH64" s="126"/>
    </row>
    <row r="65" spans="2:294" ht="19.2" thickBot="1">
      <c r="B65" s="127"/>
      <c r="C65" s="235"/>
      <c r="D65" s="158"/>
      <c r="E65" s="159"/>
      <c r="F65" s="160"/>
      <c r="G65" s="160"/>
      <c r="H65" s="160"/>
      <c r="I65" s="161"/>
      <c r="J65" s="162"/>
      <c r="K65" s="160"/>
      <c r="L65" s="160"/>
      <c r="M65" s="161"/>
      <c r="N65" s="163"/>
      <c r="O65" s="160"/>
      <c r="P65" s="160"/>
      <c r="Q65" s="161"/>
      <c r="R65" s="163"/>
      <c r="S65" s="160"/>
      <c r="T65" s="160"/>
      <c r="U65" s="161"/>
      <c r="V65" s="159"/>
      <c r="W65" s="160"/>
      <c r="X65" s="160"/>
      <c r="Y65" s="160"/>
      <c r="Z65" s="161"/>
      <c r="AA65" s="163"/>
      <c r="AB65" s="160"/>
      <c r="AC65" s="160"/>
      <c r="AD65" s="161"/>
      <c r="AE65" s="163"/>
      <c r="AF65" s="160"/>
      <c r="AG65" s="160"/>
      <c r="AH65" s="161"/>
      <c r="AI65" s="163"/>
      <c r="AJ65" s="160"/>
      <c r="AK65" s="164"/>
      <c r="AL65" s="160"/>
      <c r="AM65" s="161"/>
      <c r="AN65" s="163"/>
      <c r="AO65" s="160"/>
      <c r="AP65" s="160"/>
      <c r="AQ65" s="161"/>
      <c r="AR65" s="163"/>
      <c r="AS65" s="160"/>
      <c r="AT65" s="160"/>
      <c r="AU65" s="160"/>
      <c r="AV65" s="161"/>
      <c r="AW65" s="163"/>
      <c r="AX65" s="160"/>
      <c r="AY65" s="160"/>
      <c r="AZ65" s="161"/>
      <c r="BA65" s="163"/>
      <c r="BB65" s="160"/>
      <c r="BC65" s="160"/>
      <c r="BD65" s="161"/>
      <c r="BE65" s="163"/>
      <c r="BF65" s="165"/>
      <c r="BG65" s="165"/>
      <c r="BH65" s="160"/>
      <c r="BI65" s="161"/>
      <c r="BJ65" s="162"/>
      <c r="BK65" s="164"/>
      <c r="BL65" s="160"/>
      <c r="BM65" s="165"/>
      <c r="BN65" s="163"/>
      <c r="BO65" s="160"/>
      <c r="BP65" s="160"/>
      <c r="BQ65" s="161"/>
      <c r="BR65" s="162"/>
      <c r="BS65" s="160"/>
      <c r="BT65" s="160"/>
      <c r="BU65" s="160"/>
      <c r="BV65" s="165"/>
      <c r="BW65" s="163"/>
      <c r="BX65" s="160"/>
      <c r="BY65" s="160"/>
      <c r="BZ65" s="161"/>
      <c r="CA65" s="162"/>
      <c r="CB65" s="160"/>
      <c r="CC65" s="160"/>
      <c r="CD65" s="161"/>
      <c r="CE65" s="166"/>
      <c r="CF65" s="162"/>
      <c r="CG65" s="167"/>
      <c r="CH65" s="167"/>
      <c r="CI65" s="168"/>
      <c r="CJ65" s="163"/>
      <c r="CK65" s="167"/>
      <c r="CL65" s="167"/>
      <c r="CM65" s="169"/>
      <c r="CN65" s="145"/>
      <c r="CO65" s="145"/>
      <c r="CP65" s="145"/>
      <c r="CQ65" s="145"/>
      <c r="CR65" s="146"/>
      <c r="CS65" s="145"/>
      <c r="CT65" s="145"/>
      <c r="CU65" s="145"/>
      <c r="CV65" s="147"/>
      <c r="CW65" s="146"/>
      <c r="CX65" s="145"/>
      <c r="CY65" s="145"/>
      <c r="CZ65" s="148"/>
      <c r="DA65" s="146"/>
      <c r="DB65" s="145"/>
      <c r="DC65" s="145"/>
      <c r="DD65" s="145"/>
      <c r="DE65" s="146"/>
      <c r="DF65" s="145"/>
      <c r="DG65" s="145"/>
      <c r="DH65" s="145"/>
      <c r="DI65" s="145"/>
      <c r="DJ65" s="146"/>
      <c r="DK65" s="147"/>
      <c r="DL65" s="145"/>
      <c r="DM65" s="148"/>
      <c r="DN65" s="146"/>
      <c r="DO65" s="145"/>
      <c r="DP65" s="145"/>
      <c r="DQ65" s="145"/>
      <c r="DR65" s="145"/>
      <c r="DS65" s="146"/>
      <c r="DT65" s="145"/>
      <c r="DU65" s="145"/>
      <c r="DV65" s="145"/>
      <c r="DW65" s="145"/>
      <c r="DX65" s="145"/>
      <c r="DY65" s="145"/>
      <c r="DZ65" s="145"/>
      <c r="EA65" s="146"/>
      <c r="EB65" s="145"/>
      <c r="EC65" s="145"/>
      <c r="ED65" s="145"/>
      <c r="EE65" s="147"/>
      <c r="EF65" s="146"/>
      <c r="EG65" s="145"/>
      <c r="EH65" s="145"/>
      <c r="EI65" s="145"/>
      <c r="EJ65" s="146"/>
      <c r="EK65" s="145"/>
      <c r="EL65" s="145"/>
      <c r="EM65" s="145"/>
      <c r="EN65" s="146"/>
      <c r="EO65" s="145"/>
      <c r="EP65" s="145"/>
      <c r="EQ65" s="145"/>
      <c r="ER65" s="148"/>
      <c r="ES65" s="145"/>
      <c r="ET65" s="145"/>
      <c r="EU65" s="145"/>
      <c r="EV65" s="147"/>
      <c r="EW65" s="146"/>
      <c r="EX65" s="145"/>
      <c r="EY65" s="145"/>
      <c r="EZ65" s="148"/>
      <c r="FA65" s="145"/>
      <c r="FB65" s="145"/>
      <c r="FC65" s="145"/>
      <c r="FD65" s="145"/>
      <c r="FE65" s="145"/>
      <c r="FF65" s="146"/>
      <c r="FG65" s="145"/>
      <c r="FH65" s="145"/>
      <c r="FI65" s="148"/>
      <c r="FJ65" s="145"/>
      <c r="FK65" s="147"/>
      <c r="FL65" s="145"/>
      <c r="FM65" s="145"/>
      <c r="FN65" s="146"/>
      <c r="FO65" s="145"/>
      <c r="FP65" s="145"/>
      <c r="FQ65" s="145"/>
      <c r="FR65" s="148"/>
      <c r="FS65" s="145"/>
      <c r="FT65" s="145"/>
      <c r="FU65" s="145"/>
      <c r="FV65" s="145"/>
      <c r="FW65" s="146"/>
      <c r="FX65" s="145"/>
      <c r="FY65" s="145"/>
      <c r="FZ65" s="148"/>
      <c r="GA65" s="146"/>
      <c r="GB65" s="145"/>
      <c r="GC65" s="145"/>
      <c r="GD65" s="145"/>
      <c r="GE65" s="149"/>
      <c r="GF65" s="145"/>
      <c r="GG65" s="145"/>
      <c r="GH65" s="145"/>
      <c r="GI65" s="145"/>
      <c r="GJ65" s="146"/>
      <c r="GK65" s="145"/>
      <c r="GL65" s="145"/>
      <c r="GM65" s="148"/>
      <c r="GN65" s="145"/>
      <c r="GO65" s="145"/>
      <c r="GP65" s="145"/>
      <c r="GQ65" s="145"/>
      <c r="GR65" s="145"/>
      <c r="GS65" s="146"/>
      <c r="GT65" s="145"/>
      <c r="GU65" s="145"/>
      <c r="GV65" s="148"/>
      <c r="GW65" s="145"/>
      <c r="GX65" s="145"/>
      <c r="GY65" s="145"/>
      <c r="GZ65" s="145"/>
      <c r="HA65" s="146"/>
      <c r="HB65" s="145"/>
      <c r="HC65" s="145"/>
      <c r="HD65" s="145"/>
      <c r="HE65" s="148"/>
      <c r="HF65" s="145"/>
      <c r="HG65" s="145"/>
      <c r="HH65" s="145"/>
      <c r="HI65" s="145"/>
      <c r="HJ65" s="146"/>
      <c r="HK65" s="145"/>
      <c r="HL65" s="145"/>
      <c r="HM65" s="148"/>
      <c r="HN65" s="145"/>
      <c r="HO65" s="145"/>
      <c r="HP65" s="145"/>
      <c r="HQ65" s="145"/>
      <c r="HR65" s="145"/>
      <c r="HS65" s="146"/>
      <c r="HT65" s="145"/>
      <c r="HU65" s="145"/>
      <c r="HV65" s="148"/>
      <c r="HW65" s="145"/>
      <c r="HX65" s="145"/>
      <c r="HY65" s="145"/>
      <c r="HZ65" s="145"/>
      <c r="IA65" s="146"/>
      <c r="IB65" s="145"/>
      <c r="IC65" s="145"/>
      <c r="ID65" s="145"/>
      <c r="IE65" s="147"/>
      <c r="IF65" s="146"/>
      <c r="IG65" s="145"/>
      <c r="IH65" s="145"/>
      <c r="II65" s="148"/>
      <c r="IJ65" s="145"/>
      <c r="IK65" s="145"/>
      <c r="IL65" s="145"/>
      <c r="IM65" s="145"/>
      <c r="IN65" s="146"/>
      <c r="IO65" s="145"/>
      <c r="IP65" s="145"/>
      <c r="IQ65" s="145"/>
      <c r="IR65" s="148"/>
      <c r="IS65" s="145"/>
      <c r="IT65" s="145"/>
      <c r="IU65" s="145"/>
      <c r="IV65" s="145"/>
      <c r="IW65" s="146"/>
      <c r="IX65" s="145"/>
      <c r="IY65" s="145"/>
      <c r="IZ65" s="148"/>
      <c r="JA65" s="145"/>
      <c r="JB65" s="145"/>
      <c r="JC65" s="145"/>
      <c r="JD65" s="145"/>
      <c r="JE65" s="145"/>
      <c r="JF65" s="146"/>
      <c r="JG65" s="145"/>
      <c r="JH65" s="145"/>
      <c r="JI65" s="148"/>
      <c r="JJ65" s="145"/>
      <c r="JK65" s="145"/>
      <c r="JL65" s="145"/>
      <c r="JM65" s="145"/>
      <c r="JN65" s="146"/>
      <c r="JO65" s="145"/>
      <c r="JP65" s="145"/>
      <c r="JQ65" s="145"/>
      <c r="JR65" s="148"/>
      <c r="JS65" s="145"/>
      <c r="JT65" s="145"/>
      <c r="JU65" s="145"/>
      <c r="JV65" s="145"/>
      <c r="JW65" s="146"/>
      <c r="JX65" s="145"/>
      <c r="JY65" s="145"/>
      <c r="JZ65" s="148"/>
      <c r="KA65" s="145"/>
      <c r="KB65" s="145"/>
      <c r="KC65" s="145"/>
      <c r="KD65" s="149"/>
      <c r="KE65" s="146"/>
      <c r="KF65" s="145"/>
      <c r="KG65" s="145"/>
      <c r="KH65" s="148"/>
    </row>
    <row r="66" spans="2:294" ht="22.8" thickTop="1">
      <c r="B66" s="127"/>
      <c r="C66" s="234" t="s">
        <v>184</v>
      </c>
      <c r="D66" s="129" t="s">
        <v>186</v>
      </c>
      <c r="E66" s="130"/>
      <c r="F66" s="131"/>
      <c r="G66" s="131"/>
      <c r="H66" s="131"/>
      <c r="I66" s="132"/>
      <c r="J66" s="133"/>
      <c r="K66" s="131"/>
      <c r="L66" s="131"/>
      <c r="M66" s="132"/>
      <c r="N66" s="134"/>
      <c r="O66" s="131"/>
      <c r="P66" s="131"/>
      <c r="Q66" s="132"/>
      <c r="R66" s="134"/>
      <c r="S66" s="131"/>
      <c r="T66" s="131"/>
      <c r="U66" s="132"/>
      <c r="V66" s="130"/>
      <c r="W66" s="131"/>
      <c r="X66" s="131"/>
      <c r="Y66" s="131"/>
      <c r="Z66" s="132"/>
      <c r="AA66" s="134"/>
      <c r="AB66" s="131"/>
      <c r="AC66" s="131"/>
      <c r="AD66" s="132"/>
      <c r="AE66" s="134"/>
      <c r="AF66" s="131"/>
      <c r="AG66" s="131"/>
      <c r="AH66" s="132"/>
      <c r="AI66" s="134"/>
      <c r="AJ66" s="131"/>
      <c r="AK66" s="135"/>
      <c r="AL66" s="131"/>
      <c r="AM66" s="132"/>
      <c r="AN66" s="134"/>
      <c r="AO66" s="131"/>
      <c r="AP66" s="131"/>
      <c r="AQ66" s="132"/>
      <c r="AR66" s="134"/>
      <c r="AS66" s="131"/>
      <c r="AT66" s="131"/>
      <c r="AU66" s="131"/>
      <c r="AV66" s="132"/>
      <c r="AW66" s="134"/>
      <c r="AX66" s="131"/>
      <c r="AY66" s="131"/>
      <c r="AZ66" s="132"/>
      <c r="BA66" s="134"/>
      <c r="BB66" s="131"/>
      <c r="BC66" s="131"/>
      <c r="BD66" s="132"/>
      <c r="BE66" s="134"/>
      <c r="BF66" s="136"/>
      <c r="BG66" s="136"/>
      <c r="BH66" s="131"/>
      <c r="BI66" s="132"/>
      <c r="BJ66" s="133"/>
      <c r="BK66" s="135"/>
      <c r="BL66" s="131"/>
      <c r="BM66" s="136"/>
      <c r="BN66" s="134"/>
      <c r="BO66" s="131"/>
      <c r="BP66" s="131"/>
      <c r="BQ66" s="132"/>
      <c r="BR66" s="133"/>
      <c r="BS66" s="131"/>
      <c r="BT66" s="131"/>
      <c r="BU66" s="131"/>
      <c r="BV66" s="136"/>
      <c r="BW66" s="134"/>
      <c r="BX66" s="131"/>
      <c r="BY66" s="131"/>
      <c r="BZ66" s="132"/>
      <c r="CA66" s="133"/>
      <c r="CB66" s="131"/>
      <c r="CC66" s="131"/>
      <c r="CD66" s="132"/>
      <c r="CE66" s="137"/>
      <c r="CF66" s="133"/>
      <c r="CG66" s="138"/>
      <c r="CH66" s="138"/>
      <c r="CI66" s="139"/>
      <c r="CJ66" s="134"/>
      <c r="CK66" s="138"/>
      <c r="CL66" s="138"/>
      <c r="CM66" s="140"/>
      <c r="CN66" s="151"/>
      <c r="CO66" s="151"/>
      <c r="CP66" s="151"/>
      <c r="CQ66" s="151"/>
      <c r="CR66" s="150"/>
      <c r="CS66" s="151"/>
      <c r="CT66" s="151"/>
      <c r="CU66" s="151"/>
      <c r="CV66" s="152"/>
      <c r="CW66" s="150"/>
      <c r="CX66" s="153"/>
      <c r="CY66" s="151"/>
      <c r="CZ66" s="154"/>
      <c r="DA66" s="155"/>
      <c r="DB66" s="236"/>
      <c r="DC66" s="151"/>
      <c r="DD66" s="151"/>
      <c r="DE66" s="150"/>
      <c r="DF66" s="151"/>
      <c r="DG66" s="151"/>
      <c r="DH66" s="151"/>
      <c r="DI66" s="151"/>
      <c r="DJ66" s="150"/>
      <c r="DK66" s="152"/>
      <c r="DL66" s="151"/>
      <c r="DM66" s="154"/>
      <c r="DN66" s="150"/>
      <c r="DO66" s="151"/>
      <c r="DP66" s="151"/>
      <c r="DQ66" s="151"/>
      <c r="DR66" s="151"/>
      <c r="DS66" s="150"/>
      <c r="DT66" s="236"/>
      <c r="DU66" s="151"/>
      <c r="DV66" s="151"/>
      <c r="DW66" s="151"/>
      <c r="DX66" s="151"/>
      <c r="DY66" s="151"/>
      <c r="DZ66" s="151"/>
      <c r="EA66" s="237"/>
      <c r="EB66" s="151"/>
      <c r="EC66" s="151"/>
      <c r="ED66" s="151"/>
      <c r="EE66" s="152"/>
      <c r="EF66" s="150"/>
      <c r="EG66" s="151"/>
      <c r="EH66" s="151"/>
      <c r="EI66" s="151"/>
      <c r="EJ66" s="150"/>
      <c r="EK66" s="151"/>
      <c r="EL66" s="151"/>
      <c r="EM66" s="151"/>
      <c r="EN66" s="150"/>
      <c r="EO66" s="151"/>
      <c r="EP66" s="151"/>
      <c r="EQ66" s="151"/>
      <c r="ER66" s="154"/>
      <c r="ES66" s="151"/>
      <c r="ET66" s="151"/>
      <c r="EU66" s="151"/>
      <c r="EV66" s="152"/>
      <c r="EW66" s="150"/>
      <c r="EX66" s="151"/>
      <c r="EY66" s="151"/>
      <c r="EZ66" s="154"/>
      <c r="FA66" s="151"/>
      <c r="FB66" s="151"/>
      <c r="FC66" s="151"/>
      <c r="FD66" s="151"/>
      <c r="FE66" s="151"/>
      <c r="FF66" s="237"/>
      <c r="FG66" s="151"/>
      <c r="FH66" s="151"/>
      <c r="FI66" s="154"/>
      <c r="FJ66" s="151"/>
      <c r="FK66" s="152"/>
      <c r="FL66" s="151"/>
      <c r="FM66" s="151"/>
      <c r="FN66" s="237"/>
      <c r="FO66" s="151"/>
      <c r="FP66" s="151"/>
      <c r="FQ66" s="151"/>
      <c r="FR66" s="154"/>
      <c r="FS66" s="151"/>
      <c r="FT66" s="151"/>
      <c r="FU66" s="151"/>
      <c r="FV66" s="151"/>
      <c r="FW66" s="150"/>
      <c r="FX66" s="151"/>
      <c r="FY66" s="151"/>
      <c r="FZ66" s="154"/>
      <c r="GA66" s="150"/>
      <c r="GB66" s="151"/>
      <c r="GC66" s="151"/>
      <c r="GD66" s="151"/>
      <c r="GE66" s="156"/>
      <c r="GJ66" s="124"/>
      <c r="GM66" s="126"/>
      <c r="GS66" s="124"/>
      <c r="GV66" s="126"/>
      <c r="HA66" s="124"/>
      <c r="HE66" s="126"/>
      <c r="HJ66" s="124"/>
      <c r="HM66" s="126"/>
      <c r="HS66" s="124"/>
      <c r="HV66" s="126"/>
      <c r="IA66" s="124"/>
      <c r="IE66" s="125"/>
      <c r="IF66" s="124"/>
      <c r="II66" s="126"/>
      <c r="IN66" s="124"/>
      <c r="IR66" s="126"/>
      <c r="IW66" s="124"/>
      <c r="IZ66" s="126"/>
      <c r="JF66" s="124"/>
      <c r="JI66" s="126"/>
      <c r="JN66" s="124"/>
      <c r="JR66" s="126"/>
      <c r="JW66" s="124"/>
      <c r="JZ66" s="126"/>
      <c r="KD66" s="141"/>
      <c r="KE66" s="124"/>
      <c r="KH66" s="126"/>
    </row>
    <row r="67" spans="2:294" ht="18.600000000000001">
      <c r="B67" s="127"/>
      <c r="C67" s="234" t="s">
        <v>187</v>
      </c>
      <c r="D67" s="129" t="s">
        <v>161</v>
      </c>
      <c r="E67" s="130"/>
      <c r="F67" s="131"/>
      <c r="G67" s="131"/>
      <c r="H67" s="131"/>
      <c r="I67" s="132"/>
      <c r="J67" s="133"/>
      <c r="K67" s="131"/>
      <c r="L67" s="131"/>
      <c r="M67" s="132"/>
      <c r="N67" s="134"/>
      <c r="O67" s="131"/>
      <c r="P67" s="131"/>
      <c r="Q67" s="132"/>
      <c r="R67" s="134"/>
      <c r="S67" s="131"/>
      <c r="T67" s="131"/>
      <c r="U67" s="132"/>
      <c r="V67" s="130"/>
      <c r="W67" s="131"/>
      <c r="X67" s="131"/>
      <c r="Y67" s="131"/>
      <c r="Z67" s="132"/>
      <c r="AA67" s="134"/>
      <c r="AB67" s="131"/>
      <c r="AC67" s="131"/>
      <c r="AD67" s="132"/>
      <c r="AE67" s="134"/>
      <c r="AF67" s="131"/>
      <c r="AG67" s="131"/>
      <c r="AH67" s="132"/>
      <c r="AI67" s="134"/>
      <c r="AJ67" s="131"/>
      <c r="AK67" s="135"/>
      <c r="AL67" s="131"/>
      <c r="AM67" s="132"/>
      <c r="AN67" s="134"/>
      <c r="AO67" s="131"/>
      <c r="AP67" s="131"/>
      <c r="AQ67" s="132"/>
      <c r="AR67" s="134"/>
      <c r="AS67" s="131"/>
      <c r="AT67" s="131"/>
      <c r="AU67" s="131"/>
      <c r="AV67" s="132"/>
      <c r="AW67" s="134"/>
      <c r="AX67" s="131"/>
      <c r="AY67" s="131"/>
      <c r="AZ67" s="132"/>
      <c r="BA67" s="134"/>
      <c r="BB67" s="131"/>
      <c r="BC67" s="131"/>
      <c r="BD67" s="132"/>
      <c r="BE67" s="134"/>
      <c r="BF67" s="136"/>
      <c r="BG67" s="136"/>
      <c r="BH67" s="131"/>
      <c r="BI67" s="132"/>
      <c r="BJ67" s="133"/>
      <c r="BK67" s="135"/>
      <c r="BL67" s="131"/>
      <c r="BM67" s="136"/>
      <c r="BN67" s="134"/>
      <c r="BO67" s="131"/>
      <c r="BP67" s="131"/>
      <c r="BQ67" s="132"/>
      <c r="BR67" s="133"/>
      <c r="BS67" s="131"/>
      <c r="BT67" s="131"/>
      <c r="BU67" s="131"/>
      <c r="BV67" s="136"/>
      <c r="BW67" s="134"/>
      <c r="BX67" s="131"/>
      <c r="BY67" s="131"/>
      <c r="BZ67" s="132"/>
      <c r="CA67" s="133"/>
      <c r="CB67" s="131"/>
      <c r="CC67" s="131"/>
      <c r="CD67" s="132"/>
      <c r="CE67" s="137"/>
      <c r="CF67" s="133"/>
      <c r="CG67" s="138"/>
      <c r="CH67" s="138"/>
      <c r="CI67" s="139"/>
      <c r="CJ67" s="134"/>
      <c r="CK67" s="138"/>
      <c r="CL67" s="138"/>
      <c r="CM67" s="140"/>
      <c r="CR67" s="124"/>
      <c r="CV67" s="125"/>
      <c r="CW67" s="124"/>
      <c r="CZ67" s="126"/>
      <c r="DA67" s="124"/>
      <c r="DE67" s="124"/>
      <c r="DJ67" s="124"/>
      <c r="DK67" s="125"/>
      <c r="DM67" s="126"/>
      <c r="DN67" s="124"/>
      <c r="DS67" s="124"/>
      <c r="EA67" s="124"/>
      <c r="EE67" s="125"/>
      <c r="EF67" s="124"/>
      <c r="EJ67" s="124"/>
      <c r="EN67" s="124"/>
      <c r="ER67" s="126"/>
      <c r="EV67" s="125"/>
      <c r="EW67" s="124"/>
      <c r="EZ67" s="126"/>
      <c r="FF67" s="124"/>
      <c r="FI67" s="126"/>
      <c r="FK67" s="125"/>
      <c r="FN67" s="124"/>
      <c r="FR67" s="126"/>
      <c r="FW67" s="124"/>
      <c r="FZ67" s="126"/>
      <c r="GA67" s="124"/>
      <c r="GE67" s="141"/>
      <c r="GJ67" s="124"/>
      <c r="GM67" s="126"/>
      <c r="GS67" s="124"/>
      <c r="GV67" s="126"/>
      <c r="HA67" s="124"/>
      <c r="HE67" s="126"/>
      <c r="HJ67" s="124"/>
      <c r="HM67" s="126"/>
      <c r="HS67" s="124"/>
      <c r="HV67" s="126"/>
      <c r="IA67" s="124"/>
      <c r="IE67" s="125"/>
      <c r="IF67" s="124"/>
      <c r="II67" s="126"/>
      <c r="IN67" s="124"/>
      <c r="IR67" s="126"/>
      <c r="IW67" s="124"/>
      <c r="IZ67" s="126"/>
      <c r="JF67" s="124"/>
      <c r="JI67" s="126"/>
      <c r="JN67" s="124"/>
      <c r="JR67" s="126"/>
      <c r="JW67" s="124"/>
      <c r="JZ67" s="126"/>
      <c r="KD67" s="141"/>
      <c r="KE67" s="124"/>
      <c r="KH67" s="126"/>
    </row>
    <row r="68" spans="2:294" ht="55.8">
      <c r="B68" s="127"/>
      <c r="C68" s="238" t="s">
        <v>188</v>
      </c>
      <c r="D68" s="129" t="s">
        <v>165</v>
      </c>
      <c r="E68" s="130"/>
      <c r="F68" s="131"/>
      <c r="G68" s="131"/>
      <c r="H68" s="131"/>
      <c r="I68" s="132"/>
      <c r="J68" s="133"/>
      <c r="K68" s="131"/>
      <c r="L68" s="131"/>
      <c r="M68" s="132"/>
      <c r="N68" s="134"/>
      <c r="O68" s="131"/>
      <c r="P68" s="131"/>
      <c r="Q68" s="132"/>
      <c r="R68" s="134"/>
      <c r="S68" s="131"/>
      <c r="T68" s="131"/>
      <c r="U68" s="132"/>
      <c r="V68" s="130"/>
      <c r="W68" s="131"/>
      <c r="X68" s="131"/>
      <c r="Y68" s="131"/>
      <c r="Z68" s="132"/>
      <c r="AA68" s="134"/>
      <c r="AB68" s="131"/>
      <c r="AC68" s="131"/>
      <c r="AD68" s="132"/>
      <c r="AE68" s="134"/>
      <c r="AF68" s="131"/>
      <c r="AG68" s="131"/>
      <c r="AH68" s="132"/>
      <c r="AI68" s="134"/>
      <c r="AJ68" s="131"/>
      <c r="AK68" s="135"/>
      <c r="AL68" s="131"/>
      <c r="AM68" s="132"/>
      <c r="AN68" s="134"/>
      <c r="AO68" s="131"/>
      <c r="AP68" s="131"/>
      <c r="AQ68" s="132"/>
      <c r="AR68" s="134"/>
      <c r="AS68" s="131"/>
      <c r="AT68" s="131"/>
      <c r="AU68" s="131"/>
      <c r="AV68" s="132"/>
      <c r="AW68" s="134"/>
      <c r="AX68" s="131"/>
      <c r="AY68" s="131"/>
      <c r="AZ68" s="132"/>
      <c r="BA68" s="134"/>
      <c r="BB68" s="131"/>
      <c r="BC68" s="131"/>
      <c r="BD68" s="132"/>
      <c r="BE68" s="134"/>
      <c r="BF68" s="136"/>
      <c r="BG68" s="136"/>
      <c r="BH68" s="131"/>
      <c r="BI68" s="132"/>
      <c r="BJ68" s="133"/>
      <c r="BK68" s="135"/>
      <c r="BL68" s="131"/>
      <c r="BM68" s="136"/>
      <c r="BN68" s="134"/>
      <c r="BO68" s="131"/>
      <c r="BP68" s="131"/>
      <c r="BQ68" s="132"/>
      <c r="BR68" s="133"/>
      <c r="BS68" s="131"/>
      <c r="BT68" s="131"/>
      <c r="BU68" s="131"/>
      <c r="BV68" s="136"/>
      <c r="BW68" s="134"/>
      <c r="BX68" s="131"/>
      <c r="BY68" s="131"/>
      <c r="BZ68" s="132"/>
      <c r="CA68" s="133"/>
      <c r="CB68" s="131"/>
      <c r="CC68" s="131"/>
      <c r="CD68" s="132"/>
      <c r="CE68" s="137"/>
      <c r="CF68" s="133"/>
      <c r="CG68" s="138"/>
      <c r="CH68" s="138"/>
      <c r="CI68" s="139"/>
      <c r="CJ68" s="134"/>
      <c r="CK68" s="138"/>
      <c r="CL68" s="138"/>
      <c r="CM68" s="140"/>
      <c r="CR68" s="124"/>
      <c r="CV68" s="125"/>
      <c r="CW68" s="124"/>
      <c r="CZ68" s="126"/>
      <c r="DA68" s="124"/>
      <c r="DE68" s="124"/>
      <c r="DJ68" s="124"/>
      <c r="DK68" s="125"/>
      <c r="DM68" s="126"/>
      <c r="DN68" s="124"/>
      <c r="DS68" s="124"/>
      <c r="EA68" s="124"/>
      <c r="EE68" s="125"/>
      <c r="EF68" s="124"/>
      <c r="EJ68" s="124"/>
      <c r="EN68" s="124"/>
      <c r="ER68" s="126"/>
      <c r="EV68" s="125"/>
      <c r="EW68" s="124"/>
      <c r="EZ68" s="126"/>
      <c r="FF68" s="124"/>
      <c r="FI68" s="126"/>
      <c r="FK68" s="125"/>
      <c r="FN68" s="124"/>
      <c r="FR68" s="126"/>
      <c r="FW68" s="124"/>
      <c r="FZ68" s="126"/>
      <c r="GA68" s="124"/>
      <c r="GE68" s="141"/>
      <c r="GJ68" s="124"/>
      <c r="GM68" s="126"/>
      <c r="GS68" s="124"/>
      <c r="GV68" s="126"/>
      <c r="HA68" s="124"/>
      <c r="HE68" s="126"/>
      <c r="HJ68" s="124"/>
      <c r="HM68" s="126"/>
      <c r="HS68" s="124"/>
      <c r="HV68" s="126"/>
      <c r="IA68" s="124"/>
      <c r="IE68" s="125"/>
      <c r="IF68" s="124"/>
      <c r="II68" s="126"/>
      <c r="IN68" s="124"/>
      <c r="IR68" s="126"/>
      <c r="IW68" s="124"/>
      <c r="IZ68" s="126"/>
      <c r="JF68" s="124"/>
      <c r="JI68" s="126"/>
      <c r="JN68" s="124"/>
      <c r="JR68" s="126"/>
      <c r="JW68" s="124"/>
      <c r="JZ68" s="126"/>
      <c r="KD68" s="141"/>
      <c r="KE68" s="124"/>
      <c r="KH68" s="126"/>
    </row>
    <row r="69" spans="2:294" ht="18.600000000000001">
      <c r="B69" s="127"/>
      <c r="C69" s="239"/>
      <c r="D69" s="129"/>
      <c r="E69" s="130"/>
      <c r="F69" s="131"/>
      <c r="G69" s="131"/>
      <c r="H69" s="131"/>
      <c r="I69" s="132"/>
      <c r="J69" s="133"/>
      <c r="K69" s="131"/>
      <c r="L69" s="131"/>
      <c r="M69" s="132"/>
      <c r="N69" s="134"/>
      <c r="O69" s="131"/>
      <c r="P69" s="131"/>
      <c r="Q69" s="132"/>
      <c r="R69" s="134"/>
      <c r="S69" s="131"/>
      <c r="T69" s="131"/>
      <c r="U69" s="132"/>
      <c r="V69" s="130"/>
      <c r="W69" s="131"/>
      <c r="X69" s="131"/>
      <c r="Y69" s="131"/>
      <c r="Z69" s="132"/>
      <c r="AA69" s="134"/>
      <c r="AB69" s="131"/>
      <c r="AC69" s="131"/>
      <c r="AD69" s="132"/>
      <c r="AE69" s="134"/>
      <c r="AF69" s="131"/>
      <c r="AG69" s="131"/>
      <c r="AH69" s="132"/>
      <c r="AI69" s="134"/>
      <c r="AJ69" s="131"/>
      <c r="AK69" s="135"/>
      <c r="AL69" s="131"/>
      <c r="AM69" s="132"/>
      <c r="AN69" s="134"/>
      <c r="AO69" s="131"/>
      <c r="AP69" s="131"/>
      <c r="AQ69" s="132"/>
      <c r="AR69" s="134"/>
      <c r="AS69" s="131"/>
      <c r="AT69" s="131"/>
      <c r="AU69" s="131"/>
      <c r="AV69" s="132"/>
      <c r="AW69" s="134"/>
      <c r="AX69" s="131"/>
      <c r="AY69" s="131"/>
      <c r="AZ69" s="132"/>
      <c r="BA69" s="134"/>
      <c r="BB69" s="131"/>
      <c r="BC69" s="131"/>
      <c r="BD69" s="132"/>
      <c r="BE69" s="134"/>
      <c r="BF69" s="136"/>
      <c r="BG69" s="136"/>
      <c r="BH69" s="131"/>
      <c r="BI69" s="132"/>
      <c r="BJ69" s="133"/>
      <c r="BK69" s="135"/>
      <c r="BL69" s="131"/>
      <c r="BM69" s="136"/>
      <c r="BN69" s="134"/>
      <c r="BO69" s="131"/>
      <c r="BP69" s="131"/>
      <c r="BQ69" s="132"/>
      <c r="BR69" s="133"/>
      <c r="BS69" s="131"/>
      <c r="BT69" s="131"/>
      <c r="BU69" s="131"/>
      <c r="BV69" s="136"/>
      <c r="BW69" s="134"/>
      <c r="BX69" s="131"/>
      <c r="BY69" s="131"/>
      <c r="BZ69" s="132"/>
      <c r="CA69" s="133"/>
      <c r="CB69" s="131"/>
      <c r="CC69" s="131"/>
      <c r="CD69" s="132"/>
      <c r="CE69" s="137"/>
      <c r="CF69" s="133"/>
      <c r="CG69" s="138"/>
      <c r="CH69" s="138"/>
      <c r="CI69" s="139"/>
      <c r="CJ69" s="134"/>
      <c r="CK69" s="138"/>
      <c r="CL69" s="138"/>
      <c r="CM69" s="140"/>
      <c r="CR69" s="124"/>
      <c r="CV69" s="125"/>
      <c r="CW69" s="124"/>
      <c r="CZ69" s="126"/>
      <c r="DA69" s="124"/>
      <c r="DE69" s="124"/>
      <c r="DJ69" s="124"/>
      <c r="DK69" s="125"/>
      <c r="DM69" s="126"/>
      <c r="DN69" s="124"/>
      <c r="DS69" s="124"/>
      <c r="EA69" s="124"/>
      <c r="EE69" s="125"/>
      <c r="EF69" s="124"/>
      <c r="EJ69" s="124"/>
      <c r="EN69" s="124"/>
      <c r="ER69" s="126"/>
      <c r="EV69" s="125"/>
      <c r="EW69" s="124"/>
      <c r="EZ69" s="126"/>
      <c r="FF69" s="124"/>
      <c r="FI69" s="126"/>
      <c r="FK69" s="125"/>
      <c r="FN69" s="124"/>
      <c r="FR69" s="126"/>
      <c r="FW69" s="124"/>
      <c r="FZ69" s="126"/>
      <c r="GA69" s="124"/>
      <c r="GE69" s="141"/>
      <c r="GJ69" s="124"/>
      <c r="GM69" s="126"/>
      <c r="GS69" s="124"/>
      <c r="GV69" s="126"/>
      <c r="HA69" s="124"/>
      <c r="HE69" s="126"/>
      <c r="HJ69" s="124"/>
      <c r="HM69" s="126"/>
      <c r="HS69" s="124"/>
      <c r="HV69" s="126"/>
      <c r="IA69" s="124"/>
      <c r="IE69" s="125"/>
      <c r="IF69" s="124"/>
      <c r="II69" s="126"/>
      <c r="IN69" s="124"/>
      <c r="IR69" s="126"/>
      <c r="IW69" s="124"/>
      <c r="IZ69" s="126"/>
      <c r="JF69" s="124"/>
      <c r="JI69" s="126"/>
      <c r="JN69" s="124"/>
      <c r="JR69" s="126"/>
      <c r="JW69" s="124"/>
      <c r="JZ69" s="126"/>
      <c r="KD69" s="141"/>
      <c r="KE69" s="124"/>
      <c r="KH69" s="126"/>
    </row>
    <row r="70" spans="2:294" ht="19.2" thickBot="1">
      <c r="B70" s="127"/>
      <c r="C70" s="240"/>
      <c r="D70" s="158"/>
      <c r="E70" s="159"/>
      <c r="F70" s="160"/>
      <c r="G70" s="160"/>
      <c r="H70" s="160"/>
      <c r="I70" s="161"/>
      <c r="J70" s="162"/>
      <c r="K70" s="160"/>
      <c r="L70" s="160"/>
      <c r="M70" s="161"/>
      <c r="N70" s="163"/>
      <c r="O70" s="160"/>
      <c r="P70" s="160"/>
      <c r="Q70" s="161"/>
      <c r="R70" s="163"/>
      <c r="S70" s="160"/>
      <c r="T70" s="160"/>
      <c r="U70" s="161"/>
      <c r="V70" s="159"/>
      <c r="W70" s="160"/>
      <c r="X70" s="160"/>
      <c r="Y70" s="160"/>
      <c r="Z70" s="161"/>
      <c r="AA70" s="163"/>
      <c r="AB70" s="160"/>
      <c r="AC70" s="160"/>
      <c r="AD70" s="161"/>
      <c r="AE70" s="163"/>
      <c r="AF70" s="160"/>
      <c r="AG70" s="160"/>
      <c r="AH70" s="161"/>
      <c r="AI70" s="163"/>
      <c r="AJ70" s="160"/>
      <c r="AK70" s="164"/>
      <c r="AL70" s="160"/>
      <c r="AM70" s="161"/>
      <c r="AN70" s="163"/>
      <c r="AO70" s="160"/>
      <c r="AP70" s="160"/>
      <c r="AQ70" s="161"/>
      <c r="AR70" s="163"/>
      <c r="AS70" s="160"/>
      <c r="AT70" s="160"/>
      <c r="AU70" s="160"/>
      <c r="AV70" s="161"/>
      <c r="AW70" s="163"/>
      <c r="AX70" s="160"/>
      <c r="AY70" s="160"/>
      <c r="AZ70" s="161"/>
      <c r="BA70" s="163"/>
      <c r="BB70" s="160"/>
      <c r="BC70" s="160"/>
      <c r="BD70" s="161"/>
      <c r="BE70" s="163"/>
      <c r="BF70" s="165"/>
      <c r="BG70" s="165"/>
      <c r="BH70" s="160"/>
      <c r="BI70" s="161"/>
      <c r="BJ70" s="162"/>
      <c r="BK70" s="164"/>
      <c r="BL70" s="160"/>
      <c r="BM70" s="165"/>
      <c r="BN70" s="163"/>
      <c r="BO70" s="160"/>
      <c r="BP70" s="160"/>
      <c r="BQ70" s="161"/>
      <c r="BR70" s="162"/>
      <c r="BS70" s="160"/>
      <c r="BT70" s="160"/>
      <c r="BU70" s="160"/>
      <c r="BV70" s="165"/>
      <c r="BW70" s="163"/>
      <c r="BX70" s="160"/>
      <c r="BY70" s="160"/>
      <c r="BZ70" s="161"/>
      <c r="CA70" s="162"/>
      <c r="CB70" s="160"/>
      <c r="CC70" s="160"/>
      <c r="CD70" s="161"/>
      <c r="CE70" s="166"/>
      <c r="CF70" s="162"/>
      <c r="CG70" s="167"/>
      <c r="CH70" s="167"/>
      <c r="CI70" s="168"/>
      <c r="CJ70" s="163"/>
      <c r="CK70" s="167"/>
      <c r="CL70" s="167"/>
      <c r="CM70" s="169"/>
      <c r="CN70" s="145"/>
      <c r="CO70" s="145"/>
      <c r="CP70" s="145"/>
      <c r="CQ70" s="145"/>
      <c r="CR70" s="146"/>
      <c r="CS70" s="145"/>
      <c r="CT70" s="145"/>
      <c r="CU70" s="145"/>
      <c r="CV70" s="147"/>
      <c r="CW70" s="146"/>
      <c r="CX70" s="145"/>
      <c r="CY70" s="145"/>
      <c r="CZ70" s="148"/>
      <c r="DA70" s="146"/>
      <c r="DB70" s="145"/>
      <c r="DC70" s="145"/>
      <c r="DD70" s="145"/>
      <c r="DE70" s="146"/>
      <c r="DF70" s="145"/>
      <c r="DG70" s="145"/>
      <c r="DH70" s="145"/>
      <c r="DI70" s="145"/>
      <c r="DJ70" s="146"/>
      <c r="DK70" s="147"/>
      <c r="DL70" s="145"/>
      <c r="DM70" s="148"/>
      <c r="DN70" s="146"/>
      <c r="DO70" s="145"/>
      <c r="DP70" s="145"/>
      <c r="DQ70" s="145"/>
      <c r="DR70" s="145"/>
      <c r="DS70" s="146"/>
      <c r="DT70" s="145"/>
      <c r="DU70" s="145"/>
      <c r="DV70" s="145"/>
      <c r="DW70" s="145"/>
      <c r="DX70" s="145"/>
      <c r="DY70" s="145"/>
      <c r="DZ70" s="145"/>
      <c r="EA70" s="146"/>
      <c r="EB70" s="145"/>
      <c r="EC70" s="145"/>
      <c r="ED70" s="145"/>
      <c r="EE70" s="147"/>
      <c r="EF70" s="146"/>
      <c r="EG70" s="145"/>
      <c r="EH70" s="145"/>
      <c r="EI70" s="145"/>
      <c r="EJ70" s="146"/>
      <c r="EK70" s="145"/>
      <c r="EL70" s="145"/>
      <c r="EM70" s="145"/>
      <c r="EN70" s="146"/>
      <c r="EO70" s="145"/>
      <c r="EP70" s="145"/>
      <c r="EQ70" s="145"/>
      <c r="ER70" s="148"/>
      <c r="ES70" s="145"/>
      <c r="ET70" s="145"/>
      <c r="EU70" s="145"/>
      <c r="EV70" s="147"/>
      <c r="EW70" s="146"/>
      <c r="EX70" s="145"/>
      <c r="EY70" s="145"/>
      <c r="EZ70" s="148"/>
      <c r="FA70" s="145"/>
      <c r="FB70" s="145"/>
      <c r="FC70" s="145"/>
      <c r="FD70" s="145"/>
      <c r="FE70" s="145"/>
      <c r="FF70" s="146"/>
      <c r="FG70" s="145"/>
      <c r="FH70" s="145"/>
      <c r="FI70" s="148"/>
      <c r="FJ70" s="145"/>
      <c r="FK70" s="147"/>
      <c r="FL70" s="145"/>
      <c r="FM70" s="145"/>
      <c r="FN70" s="146"/>
      <c r="FO70" s="145"/>
      <c r="FP70" s="145"/>
      <c r="FQ70" s="145"/>
      <c r="FR70" s="148"/>
      <c r="FS70" s="145"/>
      <c r="FT70" s="145"/>
      <c r="FU70" s="145"/>
      <c r="FV70" s="145"/>
      <c r="FW70" s="146"/>
      <c r="FX70" s="145"/>
      <c r="FY70" s="145"/>
      <c r="FZ70" s="148"/>
      <c r="GA70" s="146"/>
      <c r="GB70" s="145"/>
      <c r="GC70" s="145"/>
      <c r="GD70" s="145"/>
      <c r="GE70" s="149"/>
      <c r="GF70" s="145"/>
      <c r="GG70" s="145"/>
      <c r="GH70" s="145"/>
      <c r="GI70" s="145"/>
      <c r="GJ70" s="146"/>
      <c r="GK70" s="145"/>
      <c r="GL70" s="145"/>
      <c r="GM70" s="148"/>
      <c r="GN70" s="145"/>
      <c r="GO70" s="145"/>
      <c r="GP70" s="145"/>
      <c r="GQ70" s="145"/>
      <c r="GR70" s="145"/>
      <c r="GS70" s="146"/>
      <c r="GT70" s="145"/>
      <c r="GU70" s="145"/>
      <c r="GV70" s="148"/>
      <c r="GW70" s="145"/>
      <c r="GX70" s="145"/>
      <c r="GY70" s="145"/>
      <c r="GZ70" s="145"/>
      <c r="HA70" s="146"/>
      <c r="HB70" s="145"/>
      <c r="HC70" s="145"/>
      <c r="HD70" s="145"/>
      <c r="HE70" s="148"/>
      <c r="HF70" s="145"/>
      <c r="HG70" s="145"/>
      <c r="HH70" s="145"/>
      <c r="HI70" s="145"/>
      <c r="HJ70" s="146"/>
      <c r="HK70" s="145"/>
      <c r="HL70" s="145"/>
      <c r="HM70" s="148"/>
      <c r="HN70" s="145"/>
      <c r="HO70" s="145"/>
      <c r="HP70" s="145"/>
      <c r="HQ70" s="145"/>
      <c r="HR70" s="145"/>
      <c r="HS70" s="146"/>
      <c r="HT70" s="145"/>
      <c r="HU70" s="145"/>
      <c r="HV70" s="148"/>
      <c r="HW70" s="145"/>
      <c r="HX70" s="145"/>
      <c r="HY70" s="145"/>
      <c r="HZ70" s="145"/>
      <c r="IA70" s="146"/>
      <c r="IB70" s="145"/>
      <c r="IC70" s="145"/>
      <c r="ID70" s="145"/>
      <c r="IE70" s="147"/>
      <c r="IF70" s="146"/>
      <c r="IG70" s="145"/>
      <c r="IH70" s="145"/>
      <c r="II70" s="148"/>
      <c r="IJ70" s="145"/>
      <c r="IK70" s="145"/>
      <c r="IL70" s="145"/>
      <c r="IM70" s="145"/>
      <c r="IN70" s="146"/>
      <c r="IO70" s="145"/>
      <c r="IP70" s="145"/>
      <c r="IQ70" s="145"/>
      <c r="IR70" s="148"/>
      <c r="IS70" s="145"/>
      <c r="IT70" s="145"/>
      <c r="IU70" s="145"/>
      <c r="IV70" s="145"/>
      <c r="IW70" s="146"/>
      <c r="IX70" s="145"/>
      <c r="IY70" s="145"/>
      <c r="IZ70" s="148"/>
      <c r="JA70" s="145"/>
      <c r="JB70" s="145"/>
      <c r="JC70" s="145"/>
      <c r="JD70" s="145"/>
      <c r="JE70" s="145"/>
      <c r="JF70" s="146"/>
      <c r="JG70" s="145"/>
      <c r="JH70" s="145"/>
      <c r="JI70" s="148"/>
      <c r="JJ70" s="145"/>
      <c r="JK70" s="145"/>
      <c r="JL70" s="145"/>
      <c r="JM70" s="145"/>
      <c r="JN70" s="146"/>
      <c r="JO70" s="145"/>
      <c r="JP70" s="145"/>
      <c r="JQ70" s="145"/>
      <c r="JR70" s="148"/>
      <c r="JS70" s="145"/>
      <c r="JT70" s="145"/>
      <c r="JU70" s="145"/>
      <c r="JV70" s="145"/>
      <c r="JW70" s="146"/>
      <c r="JX70" s="145"/>
      <c r="JY70" s="145"/>
      <c r="JZ70" s="148"/>
      <c r="KA70" s="145"/>
      <c r="KB70" s="145"/>
      <c r="KC70" s="145"/>
      <c r="KD70" s="149"/>
      <c r="KE70" s="146"/>
      <c r="KF70" s="145"/>
      <c r="KG70" s="145"/>
      <c r="KH70" s="148"/>
    </row>
    <row r="71" spans="2:294" ht="22.8" thickTop="1">
      <c r="B71" s="127"/>
      <c r="C71" s="234" t="s">
        <v>184</v>
      </c>
      <c r="D71" s="129"/>
      <c r="E71" s="130"/>
      <c r="F71" s="131"/>
      <c r="G71" s="131"/>
      <c r="H71" s="131"/>
      <c r="I71" s="132"/>
      <c r="J71" s="133"/>
      <c r="K71" s="131"/>
      <c r="L71" s="131"/>
      <c r="M71" s="132"/>
      <c r="N71" s="134"/>
      <c r="O71" s="131"/>
      <c r="P71" s="131"/>
      <c r="Q71" s="132"/>
      <c r="R71" s="134"/>
      <c r="S71" s="131"/>
      <c r="T71" s="131"/>
      <c r="U71" s="132"/>
      <c r="V71" s="130"/>
      <c r="W71" s="131"/>
      <c r="X71" s="131"/>
      <c r="Y71" s="131"/>
      <c r="Z71" s="132"/>
      <c r="AA71" s="134"/>
      <c r="AB71" s="131"/>
      <c r="AC71" s="131"/>
      <c r="AD71" s="132"/>
      <c r="AE71" s="134"/>
      <c r="AF71" s="131"/>
      <c r="AG71" s="131"/>
      <c r="AH71" s="132"/>
      <c r="AI71" s="134"/>
      <c r="AJ71" s="131"/>
      <c r="AK71" s="135"/>
      <c r="AL71" s="131"/>
      <c r="AM71" s="132"/>
      <c r="AN71" s="134"/>
      <c r="AO71" s="131"/>
      <c r="AP71" s="131"/>
      <c r="AQ71" s="132"/>
      <c r="AR71" s="134"/>
      <c r="AS71" s="131"/>
      <c r="AT71" s="131"/>
      <c r="AU71" s="131"/>
      <c r="AV71" s="132"/>
      <c r="AW71" s="134"/>
      <c r="AX71" s="131"/>
      <c r="AY71" s="131"/>
      <c r="AZ71" s="132"/>
      <c r="BA71" s="134"/>
      <c r="BB71" s="131"/>
      <c r="BC71" s="131"/>
      <c r="BD71" s="132"/>
      <c r="BE71" s="134"/>
      <c r="BF71" s="136"/>
      <c r="BG71" s="136"/>
      <c r="BH71" s="131"/>
      <c r="BI71" s="132"/>
      <c r="BJ71" s="133"/>
      <c r="BK71" s="135"/>
      <c r="BL71" s="131"/>
      <c r="BM71" s="136"/>
      <c r="BN71" s="134"/>
      <c r="BO71" s="131"/>
      <c r="BP71" s="131"/>
      <c r="BQ71" s="132"/>
      <c r="BR71" s="133"/>
      <c r="BS71" s="131"/>
      <c r="BT71" s="131"/>
      <c r="BU71" s="131"/>
      <c r="BV71" s="136"/>
      <c r="BW71" s="134"/>
      <c r="BX71" s="131"/>
      <c r="BY71" s="131"/>
      <c r="BZ71" s="132"/>
      <c r="CA71" s="133"/>
      <c r="CB71" s="131"/>
      <c r="CC71" s="131"/>
      <c r="CD71" s="132"/>
      <c r="CE71" s="137"/>
      <c r="CF71" s="133"/>
      <c r="CG71" s="138"/>
      <c r="CH71" s="138"/>
      <c r="CI71" s="139"/>
      <c r="CJ71" s="134"/>
      <c r="CK71" s="138"/>
      <c r="CL71" s="138"/>
      <c r="CM71" s="140"/>
      <c r="CN71" s="151"/>
      <c r="CO71" s="151"/>
      <c r="CP71" s="151"/>
      <c r="CQ71" s="151"/>
      <c r="CR71" s="150"/>
      <c r="CS71" s="151"/>
      <c r="CT71" s="151"/>
      <c r="CU71" s="151"/>
      <c r="CV71" s="152"/>
      <c r="CW71" s="150"/>
      <c r="CX71" s="153"/>
      <c r="CY71" s="151"/>
      <c r="CZ71" s="154"/>
      <c r="DA71" s="155"/>
      <c r="DB71" s="236"/>
      <c r="DC71" s="151"/>
      <c r="DD71" s="151"/>
      <c r="DE71" s="150"/>
      <c r="DF71" s="151"/>
      <c r="DG71" s="151"/>
      <c r="DH71" s="151"/>
      <c r="DI71" s="151"/>
      <c r="DJ71" s="150"/>
      <c r="DK71" s="152"/>
      <c r="DL71" s="151"/>
      <c r="DM71" s="154"/>
      <c r="DN71" s="150"/>
      <c r="DO71" s="151"/>
      <c r="DP71" s="151"/>
      <c r="DQ71" s="151"/>
      <c r="DR71" s="151"/>
      <c r="DS71" s="150"/>
      <c r="DT71" s="236"/>
      <c r="DU71" s="151"/>
      <c r="DV71" s="151"/>
      <c r="DW71" s="151"/>
      <c r="DX71" s="151"/>
      <c r="DY71" s="151"/>
      <c r="DZ71" s="151"/>
      <c r="EA71" s="237"/>
      <c r="EB71" s="151"/>
      <c r="EC71" s="151"/>
      <c r="ED71" s="151"/>
      <c r="EE71" s="152"/>
      <c r="EF71" s="150"/>
      <c r="EG71" s="151"/>
      <c r="EH71" s="151"/>
      <c r="EI71" s="151"/>
      <c r="EJ71" s="150"/>
      <c r="EK71" s="151"/>
      <c r="EL71" s="151"/>
      <c r="EM71" s="151"/>
      <c r="EN71" s="150"/>
      <c r="EO71" s="151"/>
      <c r="EP71" s="151"/>
      <c r="EQ71" s="151"/>
      <c r="ER71" s="154"/>
      <c r="ES71" s="151"/>
      <c r="ET71" s="151"/>
      <c r="EU71" s="151"/>
      <c r="EV71" s="152"/>
      <c r="EW71" s="150"/>
      <c r="EX71" s="151"/>
      <c r="EY71" s="151"/>
      <c r="EZ71" s="154"/>
      <c r="FA71" s="151"/>
      <c r="FB71" s="151"/>
      <c r="FC71" s="151"/>
      <c r="FD71" s="151"/>
      <c r="FE71" s="151"/>
      <c r="FF71" s="237"/>
      <c r="FG71" s="151"/>
      <c r="FH71" s="151"/>
      <c r="FI71" s="154"/>
      <c r="FJ71" s="151"/>
      <c r="FK71" s="152"/>
      <c r="FL71" s="151"/>
      <c r="FM71" s="151"/>
      <c r="FN71" s="237"/>
      <c r="FO71" s="151"/>
      <c r="FP71" s="151"/>
      <c r="FQ71" s="151"/>
      <c r="FR71" s="154"/>
      <c r="FS71" s="151"/>
      <c r="FT71" s="151"/>
      <c r="FU71" s="151"/>
      <c r="FV71" s="151"/>
      <c r="FW71" s="150"/>
      <c r="FX71" s="151"/>
      <c r="FY71" s="151"/>
      <c r="FZ71" s="154"/>
      <c r="GA71" s="150"/>
      <c r="GB71" s="151"/>
      <c r="GC71" s="151"/>
      <c r="GD71" s="151"/>
      <c r="GE71" s="156"/>
      <c r="GJ71" s="124"/>
      <c r="GM71" s="126"/>
      <c r="GS71" s="124"/>
      <c r="GV71" s="126"/>
      <c r="HA71" s="124"/>
      <c r="HE71" s="126"/>
      <c r="HJ71" s="124"/>
      <c r="HM71" s="126"/>
      <c r="HS71" s="124"/>
      <c r="HV71" s="126"/>
      <c r="IA71" s="124"/>
      <c r="IE71" s="125"/>
      <c r="IF71" s="124"/>
      <c r="II71" s="126"/>
      <c r="IN71" s="124"/>
      <c r="IR71" s="126"/>
      <c r="IW71" s="124"/>
      <c r="IZ71" s="126"/>
      <c r="JF71" s="124"/>
      <c r="JI71" s="126"/>
      <c r="JN71" s="124"/>
      <c r="JR71" s="126"/>
      <c r="JW71" s="124"/>
      <c r="JZ71" s="126"/>
      <c r="KD71" s="141"/>
      <c r="KE71" s="124"/>
      <c r="KH71" s="126"/>
    </row>
    <row r="72" spans="2:294" ht="18.600000000000001">
      <c r="B72" s="127"/>
      <c r="C72" s="234" t="s">
        <v>189</v>
      </c>
      <c r="D72" s="129"/>
      <c r="E72" s="130"/>
      <c r="F72" s="131"/>
      <c r="G72" s="131"/>
      <c r="H72" s="131"/>
      <c r="I72" s="132"/>
      <c r="J72" s="133"/>
      <c r="K72" s="131"/>
      <c r="L72" s="131"/>
      <c r="M72" s="132"/>
      <c r="N72" s="134"/>
      <c r="O72" s="131"/>
      <c r="P72" s="131"/>
      <c r="Q72" s="132"/>
      <c r="R72" s="134"/>
      <c r="S72" s="131"/>
      <c r="T72" s="131"/>
      <c r="U72" s="132"/>
      <c r="V72" s="130"/>
      <c r="W72" s="131"/>
      <c r="X72" s="131"/>
      <c r="Y72" s="131"/>
      <c r="Z72" s="132"/>
      <c r="AA72" s="134"/>
      <c r="AB72" s="131"/>
      <c r="AC72" s="131"/>
      <c r="AD72" s="132"/>
      <c r="AE72" s="134"/>
      <c r="AF72" s="131"/>
      <c r="AG72" s="131"/>
      <c r="AH72" s="132"/>
      <c r="AI72" s="134"/>
      <c r="AJ72" s="131"/>
      <c r="AK72" s="135"/>
      <c r="AL72" s="131"/>
      <c r="AM72" s="132"/>
      <c r="AN72" s="134"/>
      <c r="AO72" s="131"/>
      <c r="AP72" s="131"/>
      <c r="AQ72" s="132"/>
      <c r="AR72" s="134"/>
      <c r="AS72" s="131"/>
      <c r="AT72" s="131"/>
      <c r="AU72" s="131"/>
      <c r="AV72" s="132"/>
      <c r="AW72" s="134"/>
      <c r="AX72" s="131"/>
      <c r="AY72" s="131"/>
      <c r="AZ72" s="132"/>
      <c r="BA72" s="134"/>
      <c r="BB72" s="131"/>
      <c r="BC72" s="131"/>
      <c r="BD72" s="132"/>
      <c r="BE72" s="134"/>
      <c r="BF72" s="136"/>
      <c r="BG72" s="136"/>
      <c r="BH72" s="131"/>
      <c r="BI72" s="132"/>
      <c r="BJ72" s="133"/>
      <c r="BK72" s="135"/>
      <c r="BL72" s="131"/>
      <c r="BM72" s="136"/>
      <c r="BN72" s="134"/>
      <c r="BO72" s="131"/>
      <c r="BP72" s="131"/>
      <c r="BQ72" s="132"/>
      <c r="BR72" s="133"/>
      <c r="BS72" s="131"/>
      <c r="BT72" s="131"/>
      <c r="BU72" s="131"/>
      <c r="BV72" s="136"/>
      <c r="BW72" s="134"/>
      <c r="BX72" s="131"/>
      <c r="BY72" s="131"/>
      <c r="BZ72" s="132"/>
      <c r="CA72" s="133"/>
      <c r="CB72" s="131"/>
      <c r="CC72" s="131"/>
      <c r="CD72" s="132"/>
      <c r="CE72" s="137"/>
      <c r="CF72" s="133"/>
      <c r="CG72" s="138"/>
      <c r="CH72" s="138"/>
      <c r="CI72" s="139"/>
      <c r="CJ72" s="134"/>
      <c r="CK72" s="138"/>
      <c r="CL72" s="138"/>
      <c r="CM72" s="140"/>
      <c r="CR72" s="124"/>
      <c r="CV72" s="125"/>
      <c r="CW72" s="124"/>
      <c r="CZ72" s="126"/>
      <c r="DA72" s="124"/>
      <c r="DE72" s="124"/>
      <c r="DJ72" s="124"/>
      <c r="DK72" s="125"/>
      <c r="DM72" s="126"/>
      <c r="DN72" s="124"/>
      <c r="DS72" s="124"/>
      <c r="EA72" s="124"/>
      <c r="EE72" s="125"/>
      <c r="EF72" s="124"/>
      <c r="EJ72" s="124"/>
      <c r="EN72" s="124"/>
      <c r="ER72" s="126"/>
      <c r="EV72" s="125"/>
      <c r="EW72" s="124"/>
      <c r="EZ72" s="126"/>
      <c r="FF72" s="124"/>
      <c r="FI72" s="126"/>
      <c r="FK72" s="125"/>
      <c r="FN72" s="124"/>
      <c r="FR72" s="126"/>
      <c r="FW72" s="124"/>
      <c r="FZ72" s="126"/>
      <c r="GA72" s="124"/>
      <c r="GE72" s="141"/>
      <c r="GJ72" s="124"/>
      <c r="GM72" s="126"/>
      <c r="GS72" s="124"/>
      <c r="GV72" s="126"/>
      <c r="HA72" s="124"/>
      <c r="HE72" s="126"/>
      <c r="HJ72" s="124"/>
      <c r="HM72" s="126"/>
      <c r="HS72" s="124"/>
      <c r="HV72" s="126"/>
      <c r="IA72" s="124"/>
      <c r="IE72" s="125"/>
      <c r="IF72" s="124"/>
      <c r="II72" s="126"/>
      <c r="IN72" s="124"/>
      <c r="IR72" s="126"/>
      <c r="IW72" s="124"/>
      <c r="IZ72" s="126"/>
      <c r="JF72" s="124"/>
      <c r="JI72" s="126"/>
      <c r="JN72" s="124"/>
      <c r="JR72" s="126"/>
      <c r="JW72" s="124"/>
      <c r="JZ72" s="126"/>
      <c r="KD72" s="141"/>
      <c r="KE72" s="124"/>
      <c r="KH72" s="126"/>
    </row>
    <row r="73" spans="2:294" ht="55.8">
      <c r="B73" s="127"/>
      <c r="C73" s="238" t="s">
        <v>190</v>
      </c>
      <c r="D73" s="129"/>
      <c r="E73" s="130"/>
      <c r="F73" s="131"/>
      <c r="G73" s="131"/>
      <c r="H73" s="131"/>
      <c r="I73" s="132"/>
      <c r="J73" s="133"/>
      <c r="K73" s="131"/>
      <c r="L73" s="131"/>
      <c r="M73" s="132"/>
      <c r="N73" s="134"/>
      <c r="O73" s="131"/>
      <c r="P73" s="131"/>
      <c r="Q73" s="132"/>
      <c r="R73" s="134"/>
      <c r="S73" s="131"/>
      <c r="T73" s="131"/>
      <c r="U73" s="132"/>
      <c r="V73" s="130"/>
      <c r="W73" s="131"/>
      <c r="X73" s="131"/>
      <c r="Y73" s="131"/>
      <c r="Z73" s="132"/>
      <c r="AA73" s="134"/>
      <c r="AB73" s="131"/>
      <c r="AC73" s="131"/>
      <c r="AD73" s="132"/>
      <c r="AE73" s="134"/>
      <c r="AF73" s="131"/>
      <c r="AG73" s="131"/>
      <c r="AH73" s="132"/>
      <c r="AI73" s="134"/>
      <c r="AJ73" s="131"/>
      <c r="AK73" s="135"/>
      <c r="AL73" s="131"/>
      <c r="AM73" s="132"/>
      <c r="AN73" s="134"/>
      <c r="AO73" s="131"/>
      <c r="AP73" s="131"/>
      <c r="AQ73" s="132"/>
      <c r="AR73" s="134"/>
      <c r="AS73" s="131"/>
      <c r="AT73" s="131"/>
      <c r="AU73" s="131"/>
      <c r="AV73" s="132"/>
      <c r="AW73" s="134"/>
      <c r="AX73" s="131"/>
      <c r="AY73" s="131"/>
      <c r="AZ73" s="132"/>
      <c r="BA73" s="134"/>
      <c r="BB73" s="131"/>
      <c r="BC73" s="131"/>
      <c r="BD73" s="132"/>
      <c r="BE73" s="134"/>
      <c r="BF73" s="136"/>
      <c r="BG73" s="136"/>
      <c r="BH73" s="131"/>
      <c r="BI73" s="132"/>
      <c r="BJ73" s="133"/>
      <c r="BK73" s="135"/>
      <c r="BL73" s="131"/>
      <c r="BM73" s="136"/>
      <c r="BN73" s="134"/>
      <c r="BO73" s="131"/>
      <c r="BP73" s="131"/>
      <c r="BQ73" s="132"/>
      <c r="BR73" s="133"/>
      <c r="BS73" s="131"/>
      <c r="BT73" s="131"/>
      <c r="BU73" s="131"/>
      <c r="BV73" s="136"/>
      <c r="BW73" s="134"/>
      <c r="BX73" s="131"/>
      <c r="BY73" s="131"/>
      <c r="BZ73" s="132"/>
      <c r="CA73" s="133"/>
      <c r="CB73" s="131"/>
      <c r="CC73" s="131"/>
      <c r="CD73" s="132"/>
      <c r="CE73" s="137"/>
      <c r="CF73" s="133"/>
      <c r="CG73" s="138"/>
      <c r="CH73" s="138"/>
      <c r="CI73" s="139"/>
      <c r="CJ73" s="134"/>
      <c r="CK73" s="138"/>
      <c r="CL73" s="138"/>
      <c r="CM73" s="140"/>
      <c r="CR73" s="124"/>
      <c r="CV73" s="125"/>
      <c r="CW73" s="124"/>
      <c r="CZ73" s="126"/>
      <c r="DA73" s="124"/>
      <c r="DE73" s="124"/>
      <c r="DJ73" s="124"/>
      <c r="DK73" s="125"/>
      <c r="DM73" s="126"/>
      <c r="DN73" s="124"/>
      <c r="DS73" s="124"/>
      <c r="EA73" s="124"/>
      <c r="EE73" s="125"/>
      <c r="EF73" s="124"/>
      <c r="EJ73" s="124"/>
      <c r="EN73" s="124"/>
      <c r="ER73" s="126"/>
      <c r="EV73" s="125"/>
      <c r="EW73" s="124"/>
      <c r="EZ73" s="126"/>
      <c r="FF73" s="124"/>
      <c r="FI73" s="126"/>
      <c r="FK73" s="125"/>
      <c r="FN73" s="124"/>
      <c r="FR73" s="126"/>
      <c r="FW73" s="124"/>
      <c r="FZ73" s="126"/>
      <c r="GA73" s="124"/>
      <c r="GE73" s="141"/>
      <c r="GJ73" s="124"/>
      <c r="GM73" s="126"/>
      <c r="GS73" s="124"/>
      <c r="GV73" s="126"/>
      <c r="HA73" s="124"/>
      <c r="HE73" s="126"/>
      <c r="HJ73" s="124"/>
      <c r="HM73" s="126"/>
      <c r="HS73" s="124"/>
      <c r="HV73" s="126"/>
      <c r="IA73" s="124"/>
      <c r="IE73" s="125"/>
      <c r="IF73" s="124"/>
      <c r="II73" s="126"/>
      <c r="IN73" s="124"/>
      <c r="IR73" s="126"/>
      <c r="IW73" s="124"/>
      <c r="IZ73" s="126"/>
      <c r="JF73" s="124"/>
      <c r="JI73" s="126"/>
      <c r="JN73" s="124"/>
      <c r="JR73" s="126"/>
      <c r="JW73" s="124"/>
      <c r="JZ73" s="126"/>
      <c r="KD73" s="141"/>
      <c r="KE73" s="124"/>
      <c r="KH73" s="126"/>
    </row>
    <row r="74" spans="2:294" ht="18.600000000000001">
      <c r="B74" s="127"/>
      <c r="C74" s="239"/>
      <c r="D74" s="129"/>
      <c r="E74" s="130"/>
      <c r="F74" s="131"/>
      <c r="G74" s="131"/>
      <c r="H74" s="131"/>
      <c r="I74" s="132"/>
      <c r="J74" s="133"/>
      <c r="K74" s="131"/>
      <c r="L74" s="131"/>
      <c r="M74" s="132"/>
      <c r="N74" s="134"/>
      <c r="O74" s="131"/>
      <c r="P74" s="131"/>
      <c r="Q74" s="132"/>
      <c r="R74" s="134"/>
      <c r="S74" s="131"/>
      <c r="T74" s="131"/>
      <c r="U74" s="132"/>
      <c r="V74" s="130"/>
      <c r="W74" s="131"/>
      <c r="X74" s="131"/>
      <c r="Y74" s="131"/>
      <c r="Z74" s="132"/>
      <c r="AA74" s="134"/>
      <c r="AB74" s="131"/>
      <c r="AC74" s="131"/>
      <c r="AD74" s="132"/>
      <c r="AE74" s="134"/>
      <c r="AF74" s="131"/>
      <c r="AG74" s="131"/>
      <c r="AH74" s="132"/>
      <c r="AI74" s="134"/>
      <c r="AJ74" s="131"/>
      <c r="AK74" s="135"/>
      <c r="AL74" s="131"/>
      <c r="AM74" s="132"/>
      <c r="AN74" s="134"/>
      <c r="AO74" s="131"/>
      <c r="AP74" s="131"/>
      <c r="AQ74" s="132"/>
      <c r="AR74" s="134"/>
      <c r="AS74" s="131"/>
      <c r="AT74" s="131"/>
      <c r="AU74" s="131"/>
      <c r="AV74" s="132"/>
      <c r="AW74" s="134"/>
      <c r="AX74" s="131"/>
      <c r="AY74" s="131"/>
      <c r="AZ74" s="132"/>
      <c r="BA74" s="134"/>
      <c r="BB74" s="131"/>
      <c r="BC74" s="131"/>
      <c r="BD74" s="132"/>
      <c r="BE74" s="134"/>
      <c r="BF74" s="136"/>
      <c r="BG74" s="136"/>
      <c r="BH74" s="131"/>
      <c r="BI74" s="132"/>
      <c r="BJ74" s="133"/>
      <c r="BK74" s="135"/>
      <c r="BL74" s="131"/>
      <c r="BM74" s="136"/>
      <c r="BN74" s="134"/>
      <c r="BO74" s="131"/>
      <c r="BP74" s="131"/>
      <c r="BQ74" s="132"/>
      <c r="BR74" s="133"/>
      <c r="BS74" s="131"/>
      <c r="BT74" s="131"/>
      <c r="BU74" s="131"/>
      <c r="BV74" s="136"/>
      <c r="BW74" s="134"/>
      <c r="BX74" s="131"/>
      <c r="BY74" s="131"/>
      <c r="BZ74" s="132"/>
      <c r="CA74" s="133"/>
      <c r="CB74" s="131"/>
      <c r="CC74" s="131"/>
      <c r="CD74" s="132"/>
      <c r="CE74" s="137"/>
      <c r="CF74" s="133"/>
      <c r="CG74" s="138"/>
      <c r="CH74" s="138"/>
      <c r="CI74" s="139"/>
      <c r="CJ74" s="134"/>
      <c r="CK74" s="138"/>
      <c r="CL74" s="138"/>
      <c r="CM74" s="140"/>
      <c r="CR74" s="124"/>
      <c r="CV74" s="125"/>
      <c r="CW74" s="124"/>
      <c r="CZ74" s="126"/>
      <c r="DA74" s="124"/>
      <c r="DE74" s="124"/>
      <c r="DJ74" s="124"/>
      <c r="DK74" s="125"/>
      <c r="DM74" s="126"/>
      <c r="DN74" s="124"/>
      <c r="DS74" s="124"/>
      <c r="EA74" s="124"/>
      <c r="EE74" s="125"/>
      <c r="EF74" s="124"/>
      <c r="EJ74" s="124"/>
      <c r="EN74" s="124"/>
      <c r="ER74" s="126"/>
      <c r="EV74" s="125"/>
      <c r="EW74" s="124"/>
      <c r="EZ74" s="126"/>
      <c r="FF74" s="124"/>
      <c r="FI74" s="126"/>
      <c r="FK74" s="125"/>
      <c r="FN74" s="124"/>
      <c r="FR74" s="126"/>
      <c r="FW74" s="124"/>
      <c r="FZ74" s="126"/>
      <c r="GA74" s="124"/>
      <c r="GE74" s="141"/>
      <c r="GJ74" s="124"/>
      <c r="GM74" s="126"/>
      <c r="GS74" s="124"/>
      <c r="GV74" s="126"/>
      <c r="HA74" s="124"/>
      <c r="HE74" s="126"/>
      <c r="HJ74" s="124"/>
      <c r="HM74" s="126"/>
      <c r="HS74" s="124"/>
      <c r="HV74" s="126"/>
      <c r="IA74" s="124"/>
      <c r="IE74" s="125"/>
      <c r="IF74" s="124"/>
      <c r="II74" s="126"/>
      <c r="IN74" s="124"/>
      <c r="IR74" s="126"/>
      <c r="IW74" s="124"/>
      <c r="IZ74" s="126"/>
      <c r="JF74" s="124"/>
      <c r="JI74" s="126"/>
      <c r="JN74" s="124"/>
      <c r="JR74" s="126"/>
      <c r="JW74" s="124"/>
      <c r="JZ74" s="126"/>
      <c r="KD74" s="141"/>
      <c r="KE74" s="124"/>
      <c r="KH74" s="126"/>
    </row>
    <row r="75" spans="2:294" ht="19.2" thickBot="1">
      <c r="B75" s="127"/>
      <c r="C75" s="240"/>
      <c r="D75" s="158"/>
      <c r="E75" s="159"/>
      <c r="F75" s="160"/>
      <c r="G75" s="160"/>
      <c r="H75" s="160"/>
      <c r="I75" s="161"/>
      <c r="J75" s="162"/>
      <c r="K75" s="160"/>
      <c r="L75" s="160"/>
      <c r="M75" s="161"/>
      <c r="N75" s="163"/>
      <c r="O75" s="160"/>
      <c r="P75" s="160"/>
      <c r="Q75" s="161"/>
      <c r="R75" s="163"/>
      <c r="S75" s="160"/>
      <c r="T75" s="160"/>
      <c r="U75" s="161"/>
      <c r="V75" s="159"/>
      <c r="W75" s="160"/>
      <c r="X75" s="160"/>
      <c r="Y75" s="160"/>
      <c r="Z75" s="161"/>
      <c r="AA75" s="163"/>
      <c r="AB75" s="160"/>
      <c r="AC75" s="160"/>
      <c r="AD75" s="161"/>
      <c r="AE75" s="163"/>
      <c r="AF75" s="160"/>
      <c r="AG75" s="160"/>
      <c r="AH75" s="161"/>
      <c r="AI75" s="163"/>
      <c r="AJ75" s="160"/>
      <c r="AK75" s="164"/>
      <c r="AL75" s="160"/>
      <c r="AM75" s="161"/>
      <c r="AN75" s="163"/>
      <c r="AO75" s="160"/>
      <c r="AP75" s="160"/>
      <c r="AQ75" s="161"/>
      <c r="AR75" s="163"/>
      <c r="AS75" s="160"/>
      <c r="AT75" s="160"/>
      <c r="AU75" s="160"/>
      <c r="AV75" s="161"/>
      <c r="AW75" s="163"/>
      <c r="AX75" s="160"/>
      <c r="AY75" s="160"/>
      <c r="AZ75" s="161"/>
      <c r="BA75" s="163"/>
      <c r="BB75" s="160"/>
      <c r="BC75" s="160"/>
      <c r="BD75" s="161"/>
      <c r="BE75" s="163"/>
      <c r="BF75" s="165"/>
      <c r="BG75" s="165"/>
      <c r="BH75" s="160"/>
      <c r="BI75" s="161"/>
      <c r="BJ75" s="162"/>
      <c r="BK75" s="164"/>
      <c r="BL75" s="160"/>
      <c r="BM75" s="165"/>
      <c r="BN75" s="163"/>
      <c r="BO75" s="160"/>
      <c r="BP75" s="160"/>
      <c r="BQ75" s="161"/>
      <c r="BR75" s="162"/>
      <c r="BS75" s="160"/>
      <c r="BT75" s="160"/>
      <c r="BU75" s="160"/>
      <c r="BV75" s="165"/>
      <c r="BW75" s="163"/>
      <c r="BX75" s="160"/>
      <c r="BY75" s="160"/>
      <c r="BZ75" s="161"/>
      <c r="CA75" s="162"/>
      <c r="CB75" s="160"/>
      <c r="CC75" s="160"/>
      <c r="CD75" s="161"/>
      <c r="CE75" s="166"/>
      <c r="CF75" s="162"/>
      <c r="CG75" s="167"/>
      <c r="CH75" s="167"/>
      <c r="CI75" s="168"/>
      <c r="CJ75" s="163"/>
      <c r="CK75" s="167"/>
      <c r="CL75" s="167"/>
      <c r="CM75" s="169"/>
      <c r="CN75" s="145"/>
      <c r="CO75" s="145"/>
      <c r="CP75" s="145"/>
      <c r="CQ75" s="145"/>
      <c r="CR75" s="146"/>
      <c r="CS75" s="145"/>
      <c r="CT75" s="145"/>
      <c r="CU75" s="145"/>
      <c r="CV75" s="147"/>
      <c r="CW75" s="146"/>
      <c r="CX75" s="145"/>
      <c r="CY75" s="145"/>
      <c r="CZ75" s="148"/>
      <c r="DA75" s="146"/>
      <c r="DB75" s="145"/>
      <c r="DC75" s="145"/>
      <c r="DD75" s="145"/>
      <c r="DE75" s="146"/>
      <c r="DF75" s="145"/>
      <c r="DG75" s="145"/>
      <c r="DH75" s="145"/>
      <c r="DI75" s="145"/>
      <c r="DJ75" s="146"/>
      <c r="DK75" s="147"/>
      <c r="DL75" s="145"/>
      <c r="DM75" s="148"/>
      <c r="DN75" s="146"/>
      <c r="DO75" s="145"/>
      <c r="DP75" s="145"/>
      <c r="DQ75" s="145"/>
      <c r="DR75" s="145"/>
      <c r="DS75" s="146"/>
      <c r="DT75" s="145"/>
      <c r="DU75" s="145"/>
      <c r="DV75" s="145"/>
      <c r="DW75" s="145"/>
      <c r="DX75" s="145"/>
      <c r="DY75" s="145"/>
      <c r="DZ75" s="145"/>
      <c r="EA75" s="146"/>
      <c r="EB75" s="145"/>
      <c r="EC75" s="145"/>
      <c r="ED75" s="145"/>
      <c r="EE75" s="147"/>
      <c r="EF75" s="146"/>
      <c r="EG75" s="145"/>
      <c r="EH75" s="145"/>
      <c r="EI75" s="145"/>
      <c r="EJ75" s="146"/>
      <c r="EK75" s="145"/>
      <c r="EL75" s="145"/>
      <c r="EM75" s="145"/>
      <c r="EN75" s="146"/>
      <c r="EO75" s="145"/>
      <c r="EP75" s="145"/>
      <c r="EQ75" s="145"/>
      <c r="ER75" s="148"/>
      <c r="ES75" s="145"/>
      <c r="ET75" s="145"/>
      <c r="EU75" s="145"/>
      <c r="EV75" s="147"/>
      <c r="EW75" s="146"/>
      <c r="EX75" s="145"/>
      <c r="EY75" s="145"/>
      <c r="EZ75" s="148"/>
      <c r="FA75" s="145"/>
      <c r="FB75" s="145"/>
      <c r="FC75" s="145"/>
      <c r="FD75" s="145"/>
      <c r="FE75" s="145"/>
      <c r="FF75" s="146"/>
      <c r="FG75" s="145"/>
      <c r="FH75" s="145"/>
      <c r="FI75" s="148"/>
      <c r="FJ75" s="145"/>
      <c r="FK75" s="147"/>
      <c r="FL75" s="145"/>
      <c r="FM75" s="145"/>
      <c r="FN75" s="146"/>
      <c r="FO75" s="145"/>
      <c r="FP75" s="145"/>
      <c r="FQ75" s="145"/>
      <c r="FR75" s="148"/>
      <c r="FS75" s="145"/>
      <c r="FT75" s="145"/>
      <c r="FU75" s="145"/>
      <c r="FV75" s="145"/>
      <c r="FW75" s="146"/>
      <c r="FX75" s="145"/>
      <c r="FY75" s="145"/>
      <c r="FZ75" s="148"/>
      <c r="GA75" s="146"/>
      <c r="GB75" s="145"/>
      <c r="GC75" s="145"/>
      <c r="GD75" s="145"/>
      <c r="GE75" s="149"/>
      <c r="GF75" s="145"/>
      <c r="GG75" s="145"/>
      <c r="GH75" s="145"/>
      <c r="GI75" s="145"/>
      <c r="GJ75" s="146"/>
      <c r="GK75" s="145"/>
      <c r="GL75" s="145"/>
      <c r="GM75" s="148"/>
      <c r="GN75" s="145"/>
      <c r="GO75" s="145"/>
      <c r="GP75" s="145"/>
      <c r="GQ75" s="145"/>
      <c r="GR75" s="145"/>
      <c r="GS75" s="146"/>
      <c r="GT75" s="145"/>
      <c r="GU75" s="145"/>
      <c r="GV75" s="148"/>
      <c r="GW75" s="145"/>
      <c r="GX75" s="145"/>
      <c r="GY75" s="145"/>
      <c r="GZ75" s="145"/>
      <c r="HA75" s="146"/>
      <c r="HB75" s="145"/>
      <c r="HC75" s="145"/>
      <c r="HD75" s="145"/>
      <c r="HE75" s="148"/>
      <c r="HF75" s="145"/>
      <c r="HG75" s="145"/>
      <c r="HH75" s="145"/>
      <c r="HI75" s="145"/>
      <c r="HJ75" s="146"/>
      <c r="HK75" s="145"/>
      <c r="HL75" s="145"/>
      <c r="HM75" s="148"/>
      <c r="HN75" s="145"/>
      <c r="HO75" s="145"/>
      <c r="HP75" s="145"/>
      <c r="HQ75" s="145"/>
      <c r="HR75" s="145"/>
      <c r="HS75" s="146"/>
      <c r="HT75" s="145"/>
      <c r="HU75" s="145"/>
      <c r="HV75" s="148"/>
      <c r="HW75" s="145"/>
      <c r="HX75" s="145"/>
      <c r="HY75" s="145"/>
      <c r="HZ75" s="145"/>
      <c r="IA75" s="146"/>
      <c r="IB75" s="145"/>
      <c r="IC75" s="145"/>
      <c r="ID75" s="145"/>
      <c r="IE75" s="147"/>
      <c r="IF75" s="146"/>
      <c r="IG75" s="145"/>
      <c r="IH75" s="145"/>
      <c r="II75" s="148"/>
      <c r="IJ75" s="145"/>
      <c r="IK75" s="145"/>
      <c r="IL75" s="145"/>
      <c r="IM75" s="145"/>
      <c r="IN75" s="146"/>
      <c r="IO75" s="145"/>
      <c r="IP75" s="145"/>
      <c r="IQ75" s="145"/>
      <c r="IR75" s="148"/>
      <c r="IS75" s="145"/>
      <c r="IT75" s="145"/>
      <c r="IU75" s="145"/>
      <c r="IV75" s="145"/>
      <c r="IW75" s="146"/>
      <c r="IX75" s="145"/>
      <c r="IY75" s="145"/>
      <c r="IZ75" s="148"/>
      <c r="JA75" s="145"/>
      <c r="JB75" s="145"/>
      <c r="JC75" s="145"/>
      <c r="JD75" s="145"/>
      <c r="JE75" s="145"/>
      <c r="JF75" s="146"/>
      <c r="JG75" s="145"/>
      <c r="JH75" s="145"/>
      <c r="JI75" s="148"/>
      <c r="JJ75" s="145"/>
      <c r="JK75" s="145"/>
      <c r="JL75" s="145"/>
      <c r="JM75" s="145"/>
      <c r="JN75" s="146"/>
      <c r="JO75" s="145"/>
      <c r="JP75" s="145"/>
      <c r="JQ75" s="145"/>
      <c r="JR75" s="148"/>
      <c r="JS75" s="145"/>
      <c r="JT75" s="145"/>
      <c r="JU75" s="145"/>
      <c r="JV75" s="145"/>
      <c r="JW75" s="146"/>
      <c r="JX75" s="145"/>
      <c r="JY75" s="145"/>
      <c r="JZ75" s="148"/>
      <c r="KA75" s="145"/>
      <c r="KB75" s="145"/>
      <c r="KC75" s="145"/>
      <c r="KD75" s="149"/>
      <c r="KE75" s="146"/>
      <c r="KF75" s="145"/>
      <c r="KG75" s="145"/>
      <c r="KH75" s="148"/>
    </row>
    <row r="76" spans="2:294" ht="22.8" thickTop="1">
      <c r="B76" s="127"/>
      <c r="C76" s="234" t="s">
        <v>184</v>
      </c>
      <c r="D76" s="129" t="s">
        <v>186</v>
      </c>
      <c r="E76" s="130"/>
      <c r="F76" s="131"/>
      <c r="G76" s="131"/>
      <c r="H76" s="131"/>
      <c r="I76" s="132"/>
      <c r="J76" s="133"/>
      <c r="K76" s="131"/>
      <c r="L76" s="131"/>
      <c r="M76" s="132"/>
      <c r="N76" s="134"/>
      <c r="O76" s="131"/>
      <c r="P76" s="131"/>
      <c r="Q76" s="132"/>
      <c r="R76" s="134"/>
      <c r="S76" s="131"/>
      <c r="T76" s="131"/>
      <c r="U76" s="132"/>
      <c r="V76" s="130"/>
      <c r="W76" s="131"/>
      <c r="X76" s="131"/>
      <c r="Y76" s="131"/>
      <c r="Z76" s="132"/>
      <c r="AA76" s="134"/>
      <c r="AB76" s="131"/>
      <c r="AC76" s="131"/>
      <c r="AD76" s="132"/>
      <c r="AE76" s="134"/>
      <c r="AF76" s="131"/>
      <c r="AG76" s="131"/>
      <c r="AH76" s="132"/>
      <c r="AI76" s="134"/>
      <c r="AJ76" s="131"/>
      <c r="AK76" s="135"/>
      <c r="AL76" s="131"/>
      <c r="AM76" s="132"/>
      <c r="AN76" s="134"/>
      <c r="AO76" s="131"/>
      <c r="AP76" s="131"/>
      <c r="AQ76" s="132"/>
      <c r="AR76" s="134"/>
      <c r="AS76" s="131"/>
      <c r="AT76" s="131"/>
      <c r="AU76" s="131"/>
      <c r="AV76" s="132"/>
      <c r="AW76" s="134"/>
      <c r="AX76" s="131"/>
      <c r="AY76" s="131"/>
      <c r="AZ76" s="132"/>
      <c r="BA76" s="134"/>
      <c r="BB76" s="131"/>
      <c r="BC76" s="131"/>
      <c r="BD76" s="132"/>
      <c r="BE76" s="134"/>
      <c r="BF76" s="136"/>
      <c r="BG76" s="136"/>
      <c r="BH76" s="131"/>
      <c r="BI76" s="132"/>
      <c r="BJ76" s="133"/>
      <c r="BK76" s="135"/>
      <c r="BL76" s="131"/>
      <c r="BM76" s="136"/>
      <c r="BN76" s="134"/>
      <c r="BO76" s="131"/>
      <c r="BP76" s="131"/>
      <c r="BQ76" s="132"/>
      <c r="BR76" s="133"/>
      <c r="BS76" s="131"/>
      <c r="BT76" s="131"/>
      <c r="BU76" s="131"/>
      <c r="BV76" s="136"/>
      <c r="BW76" s="134"/>
      <c r="BX76" s="131"/>
      <c r="BY76" s="131"/>
      <c r="BZ76" s="132"/>
      <c r="CA76" s="133"/>
      <c r="CB76" s="131"/>
      <c r="CC76" s="131"/>
      <c r="CD76" s="132"/>
      <c r="CE76" s="137"/>
      <c r="CF76" s="133"/>
      <c r="CG76" s="138"/>
      <c r="CH76" s="138"/>
      <c r="CI76" s="139"/>
      <c r="CJ76" s="134"/>
      <c r="CK76" s="138"/>
      <c r="CL76" s="138"/>
      <c r="CM76" s="140"/>
      <c r="CN76" s="151"/>
      <c r="CO76" s="151"/>
      <c r="CP76" s="151"/>
      <c r="CQ76" s="151"/>
      <c r="CR76" s="150"/>
      <c r="CS76" s="151"/>
      <c r="CT76" s="151"/>
      <c r="CU76" s="151"/>
      <c r="CV76" s="152"/>
      <c r="CW76" s="150"/>
      <c r="CX76" s="153"/>
      <c r="CY76" s="151"/>
      <c r="CZ76" s="154"/>
      <c r="DA76" s="155"/>
      <c r="DB76" s="236"/>
      <c r="DC76" s="151"/>
      <c r="DD76" s="151"/>
      <c r="DE76" s="150"/>
      <c r="DF76" s="151"/>
      <c r="DG76" s="151"/>
      <c r="DH76" s="151"/>
      <c r="DI76" s="151"/>
      <c r="DJ76" s="150"/>
      <c r="DK76" s="152"/>
      <c r="DL76" s="151"/>
      <c r="DM76" s="154"/>
      <c r="DN76" s="150"/>
      <c r="DO76" s="151"/>
      <c r="DP76" s="151"/>
      <c r="DQ76" s="151"/>
      <c r="DR76" s="151"/>
      <c r="DS76" s="150"/>
      <c r="DT76" s="236"/>
      <c r="DU76" s="151"/>
      <c r="DV76" s="151"/>
      <c r="DW76" s="151"/>
      <c r="DX76" s="151"/>
      <c r="DY76" s="151"/>
      <c r="DZ76" s="151"/>
      <c r="EA76" s="237"/>
      <c r="EB76" s="151"/>
      <c r="EC76" s="151"/>
      <c r="ED76" s="151"/>
      <c r="EE76" s="152"/>
      <c r="EF76" s="150"/>
      <c r="EG76" s="151"/>
      <c r="EH76" s="151"/>
      <c r="EI76" s="151"/>
      <c r="EJ76" s="150"/>
      <c r="EK76" s="151"/>
      <c r="EL76" s="151"/>
      <c r="EM76" s="151"/>
      <c r="EN76" s="150"/>
      <c r="EO76" s="151"/>
      <c r="EP76" s="151"/>
      <c r="EQ76" s="151"/>
      <c r="ER76" s="154"/>
      <c r="ES76" s="151"/>
      <c r="ET76" s="151"/>
      <c r="EU76" s="151"/>
      <c r="EV76" s="152"/>
      <c r="EW76" s="150"/>
      <c r="EX76" s="151"/>
      <c r="EY76" s="151"/>
      <c r="EZ76" s="154"/>
      <c r="FA76" s="151"/>
      <c r="FB76" s="151"/>
      <c r="FC76" s="151"/>
      <c r="FD76" s="151"/>
      <c r="FE76" s="151"/>
      <c r="FF76" s="237"/>
      <c r="FG76" s="151"/>
      <c r="FH76" s="151"/>
      <c r="FI76" s="154"/>
      <c r="FJ76" s="151"/>
      <c r="FK76" s="152"/>
      <c r="FL76" s="151"/>
      <c r="FM76" s="151"/>
      <c r="FN76" s="237"/>
      <c r="FO76" s="151"/>
      <c r="FP76" s="151"/>
      <c r="FQ76" s="151"/>
      <c r="FR76" s="154"/>
      <c r="FS76" s="151"/>
      <c r="FT76" s="151"/>
      <c r="FU76" s="151"/>
      <c r="FV76" s="151"/>
      <c r="FW76" s="150"/>
      <c r="FX76" s="151"/>
      <c r="FY76" s="151"/>
      <c r="FZ76" s="154"/>
      <c r="GA76" s="150"/>
      <c r="GB76" s="151"/>
      <c r="GC76" s="151"/>
      <c r="GD76" s="151"/>
      <c r="GE76" s="156"/>
      <c r="GJ76" s="124"/>
      <c r="GM76" s="126"/>
      <c r="GS76" s="124"/>
      <c r="GV76" s="126"/>
      <c r="HA76" s="124"/>
      <c r="HE76" s="126"/>
      <c r="HJ76" s="124"/>
      <c r="HM76" s="126"/>
      <c r="HS76" s="124"/>
      <c r="HV76" s="126"/>
      <c r="IA76" s="124"/>
      <c r="IE76" s="125"/>
      <c r="IF76" s="124"/>
      <c r="II76" s="126"/>
      <c r="IN76" s="124"/>
      <c r="IR76" s="126"/>
      <c r="IW76" s="124"/>
      <c r="IZ76" s="126"/>
      <c r="JF76" s="124"/>
      <c r="JI76" s="126"/>
      <c r="JN76" s="124"/>
      <c r="JR76" s="126"/>
      <c r="JW76" s="124"/>
      <c r="JZ76" s="126"/>
      <c r="KD76" s="141"/>
      <c r="KE76" s="124"/>
      <c r="KH76" s="126"/>
    </row>
    <row r="77" spans="2:294" ht="18.600000000000001">
      <c r="B77" s="127"/>
      <c r="C77" s="234" t="s">
        <v>180</v>
      </c>
      <c r="D77" s="129"/>
      <c r="E77" s="130"/>
      <c r="F77" s="131"/>
      <c r="G77" s="131"/>
      <c r="H77" s="131"/>
      <c r="I77" s="132"/>
      <c r="J77" s="133"/>
      <c r="K77" s="131"/>
      <c r="L77" s="131"/>
      <c r="M77" s="132"/>
      <c r="N77" s="134"/>
      <c r="O77" s="131"/>
      <c r="P77" s="131"/>
      <c r="Q77" s="132"/>
      <c r="R77" s="134"/>
      <c r="S77" s="131"/>
      <c r="T77" s="131"/>
      <c r="U77" s="132"/>
      <c r="V77" s="130"/>
      <c r="W77" s="131"/>
      <c r="X77" s="131"/>
      <c r="Y77" s="131"/>
      <c r="Z77" s="132"/>
      <c r="AA77" s="134"/>
      <c r="AB77" s="131"/>
      <c r="AC77" s="131"/>
      <c r="AD77" s="132"/>
      <c r="AE77" s="134"/>
      <c r="AF77" s="131"/>
      <c r="AG77" s="131"/>
      <c r="AH77" s="132"/>
      <c r="AI77" s="134"/>
      <c r="AJ77" s="131"/>
      <c r="AK77" s="135"/>
      <c r="AL77" s="131"/>
      <c r="AM77" s="132"/>
      <c r="AN77" s="134"/>
      <c r="AO77" s="131"/>
      <c r="AP77" s="131"/>
      <c r="AQ77" s="132"/>
      <c r="AR77" s="134"/>
      <c r="AS77" s="131"/>
      <c r="AT77" s="131"/>
      <c r="AU77" s="131"/>
      <c r="AV77" s="132"/>
      <c r="AW77" s="134"/>
      <c r="AX77" s="131"/>
      <c r="AY77" s="131"/>
      <c r="AZ77" s="132"/>
      <c r="BA77" s="134"/>
      <c r="BB77" s="131"/>
      <c r="BC77" s="131"/>
      <c r="BD77" s="132"/>
      <c r="BE77" s="134"/>
      <c r="BF77" s="136"/>
      <c r="BG77" s="136"/>
      <c r="BH77" s="131"/>
      <c r="BI77" s="132"/>
      <c r="BJ77" s="133"/>
      <c r="BK77" s="135"/>
      <c r="BL77" s="131"/>
      <c r="BM77" s="136"/>
      <c r="BN77" s="134"/>
      <c r="BO77" s="131"/>
      <c r="BP77" s="131"/>
      <c r="BQ77" s="132"/>
      <c r="BR77" s="133"/>
      <c r="BS77" s="131"/>
      <c r="BT77" s="131"/>
      <c r="BU77" s="131"/>
      <c r="BV77" s="136"/>
      <c r="BW77" s="134"/>
      <c r="BX77" s="131"/>
      <c r="BY77" s="131"/>
      <c r="BZ77" s="132"/>
      <c r="CA77" s="133"/>
      <c r="CB77" s="131"/>
      <c r="CC77" s="131"/>
      <c r="CD77" s="132"/>
      <c r="CE77" s="137"/>
      <c r="CF77" s="133"/>
      <c r="CG77" s="138"/>
      <c r="CH77" s="138"/>
      <c r="CI77" s="139"/>
      <c r="CJ77" s="134"/>
      <c r="CK77" s="138"/>
      <c r="CL77" s="138"/>
      <c r="CM77" s="140"/>
      <c r="CR77" s="124"/>
      <c r="CV77" s="125"/>
      <c r="CW77" s="124"/>
      <c r="CZ77" s="126"/>
      <c r="DA77" s="124"/>
      <c r="DE77" s="124"/>
      <c r="DJ77" s="124"/>
      <c r="DK77" s="125"/>
      <c r="DM77" s="126"/>
      <c r="DN77" s="124"/>
      <c r="DS77" s="124"/>
      <c r="EA77" s="124"/>
      <c r="EE77" s="125"/>
      <c r="EF77" s="124"/>
      <c r="EJ77" s="124"/>
      <c r="EN77" s="124"/>
      <c r="ER77" s="126"/>
      <c r="EV77" s="125"/>
      <c r="EW77" s="124"/>
      <c r="EZ77" s="126"/>
      <c r="FF77" s="124"/>
      <c r="FI77" s="126"/>
      <c r="FK77" s="125"/>
      <c r="FN77" s="124"/>
      <c r="FR77" s="126"/>
      <c r="FW77" s="124"/>
      <c r="FZ77" s="126"/>
      <c r="GA77" s="124"/>
      <c r="GE77" s="141"/>
      <c r="GJ77" s="124"/>
      <c r="GM77" s="126"/>
      <c r="GS77" s="124"/>
      <c r="GV77" s="126"/>
      <c r="HA77" s="124"/>
      <c r="HE77" s="126"/>
      <c r="HJ77" s="124"/>
      <c r="HM77" s="126"/>
      <c r="HS77" s="124"/>
      <c r="HV77" s="126"/>
      <c r="IA77" s="124"/>
      <c r="IE77" s="125"/>
      <c r="IF77" s="124"/>
      <c r="II77" s="126"/>
      <c r="IN77" s="124"/>
      <c r="IR77" s="126"/>
      <c r="IW77" s="124"/>
      <c r="IZ77" s="126"/>
      <c r="JF77" s="124"/>
      <c r="JI77" s="126"/>
      <c r="JN77" s="124"/>
      <c r="JR77" s="126"/>
      <c r="JW77" s="124"/>
      <c r="JZ77" s="126"/>
      <c r="KD77" s="141"/>
      <c r="KE77" s="124"/>
      <c r="KH77" s="126"/>
    </row>
    <row r="78" spans="2:294" ht="18.600000000000001">
      <c r="B78" s="127"/>
      <c r="C78" s="241"/>
      <c r="D78" s="129"/>
      <c r="E78" s="130"/>
      <c r="F78" s="131"/>
      <c r="G78" s="131"/>
      <c r="H78" s="131"/>
      <c r="I78" s="132"/>
      <c r="J78" s="133"/>
      <c r="K78" s="131"/>
      <c r="L78" s="131"/>
      <c r="M78" s="132"/>
      <c r="N78" s="134"/>
      <c r="O78" s="131"/>
      <c r="P78" s="131"/>
      <c r="Q78" s="132"/>
      <c r="R78" s="134"/>
      <c r="S78" s="131"/>
      <c r="T78" s="131"/>
      <c r="U78" s="132"/>
      <c r="V78" s="130"/>
      <c r="W78" s="131"/>
      <c r="X78" s="131"/>
      <c r="Y78" s="131"/>
      <c r="Z78" s="132"/>
      <c r="AA78" s="134"/>
      <c r="AB78" s="131"/>
      <c r="AC78" s="131"/>
      <c r="AD78" s="132"/>
      <c r="AE78" s="134"/>
      <c r="AF78" s="131"/>
      <c r="AG78" s="131"/>
      <c r="AH78" s="132"/>
      <c r="AI78" s="134"/>
      <c r="AJ78" s="131"/>
      <c r="AK78" s="135"/>
      <c r="AL78" s="131"/>
      <c r="AM78" s="132"/>
      <c r="AN78" s="134"/>
      <c r="AO78" s="131"/>
      <c r="AP78" s="131"/>
      <c r="AQ78" s="132"/>
      <c r="AR78" s="134"/>
      <c r="AS78" s="131"/>
      <c r="AT78" s="131"/>
      <c r="AU78" s="131"/>
      <c r="AV78" s="132"/>
      <c r="AW78" s="134"/>
      <c r="AX78" s="131"/>
      <c r="AY78" s="131"/>
      <c r="AZ78" s="132"/>
      <c r="BA78" s="134"/>
      <c r="BB78" s="131"/>
      <c r="BC78" s="131"/>
      <c r="BD78" s="132"/>
      <c r="BE78" s="134"/>
      <c r="BF78" s="136"/>
      <c r="BG78" s="136"/>
      <c r="BH78" s="131"/>
      <c r="BI78" s="132"/>
      <c r="BJ78" s="133"/>
      <c r="BK78" s="135"/>
      <c r="BL78" s="131"/>
      <c r="BM78" s="136"/>
      <c r="BN78" s="134"/>
      <c r="BO78" s="131"/>
      <c r="BP78" s="131"/>
      <c r="BQ78" s="132"/>
      <c r="BR78" s="133"/>
      <c r="BS78" s="131"/>
      <c r="BT78" s="131"/>
      <c r="BU78" s="131"/>
      <c r="BV78" s="136"/>
      <c r="BW78" s="134"/>
      <c r="BX78" s="131"/>
      <c r="BY78" s="131"/>
      <c r="BZ78" s="132"/>
      <c r="CA78" s="133"/>
      <c r="CB78" s="131"/>
      <c r="CC78" s="131"/>
      <c r="CD78" s="132"/>
      <c r="CE78" s="137"/>
      <c r="CF78" s="133"/>
      <c r="CG78" s="138"/>
      <c r="CH78" s="138"/>
      <c r="CI78" s="139"/>
      <c r="CJ78" s="134"/>
      <c r="CK78" s="138"/>
      <c r="CL78" s="138"/>
      <c r="CM78" s="140"/>
      <c r="CR78" s="124"/>
      <c r="CV78" s="125"/>
      <c r="CW78" s="124"/>
      <c r="CZ78" s="126"/>
      <c r="DA78" s="124"/>
      <c r="DE78" s="124"/>
      <c r="DJ78" s="124"/>
      <c r="DK78" s="125"/>
      <c r="DM78" s="126"/>
      <c r="DN78" s="124"/>
      <c r="DS78" s="124"/>
      <c r="EA78" s="124"/>
      <c r="EE78" s="125"/>
      <c r="EF78" s="124"/>
      <c r="EJ78" s="124"/>
      <c r="EN78" s="124"/>
      <c r="ER78" s="126"/>
      <c r="EV78" s="125"/>
      <c r="EW78" s="124"/>
      <c r="EZ78" s="126"/>
      <c r="FF78" s="124"/>
      <c r="FI78" s="126"/>
      <c r="FK78" s="125"/>
      <c r="FN78" s="124"/>
      <c r="FR78" s="126"/>
      <c r="FW78" s="124"/>
      <c r="FZ78" s="126"/>
      <c r="GA78" s="124"/>
      <c r="GE78" s="141"/>
      <c r="GJ78" s="124"/>
      <c r="GM78" s="126"/>
      <c r="GS78" s="124"/>
      <c r="GV78" s="126"/>
      <c r="HA78" s="124"/>
      <c r="HE78" s="126"/>
      <c r="HJ78" s="124"/>
      <c r="HM78" s="126"/>
      <c r="HS78" s="124"/>
      <c r="HV78" s="126"/>
      <c r="IA78" s="124"/>
      <c r="IE78" s="125"/>
      <c r="IF78" s="124"/>
      <c r="II78" s="126"/>
      <c r="IN78" s="124"/>
      <c r="IR78" s="126"/>
      <c r="IW78" s="124"/>
      <c r="IZ78" s="126"/>
      <c r="JF78" s="124"/>
      <c r="JI78" s="126"/>
      <c r="JN78" s="124"/>
      <c r="JR78" s="126"/>
      <c r="JW78" s="124"/>
      <c r="JZ78" s="126"/>
      <c r="KD78" s="141"/>
      <c r="KE78" s="124"/>
      <c r="KH78" s="126"/>
    </row>
    <row r="79" spans="2:294" ht="55.8">
      <c r="B79" s="127"/>
      <c r="C79" s="239" t="s">
        <v>191</v>
      </c>
      <c r="D79" s="129"/>
      <c r="E79" s="130"/>
      <c r="F79" s="131"/>
      <c r="G79" s="131"/>
      <c r="H79" s="131"/>
      <c r="I79" s="132"/>
      <c r="J79" s="133"/>
      <c r="K79" s="131"/>
      <c r="L79" s="131"/>
      <c r="M79" s="132"/>
      <c r="N79" s="134"/>
      <c r="O79" s="131"/>
      <c r="P79" s="131"/>
      <c r="Q79" s="132"/>
      <c r="R79" s="134"/>
      <c r="S79" s="131"/>
      <c r="T79" s="131"/>
      <c r="U79" s="132"/>
      <c r="V79" s="130"/>
      <c r="W79" s="131"/>
      <c r="X79" s="131"/>
      <c r="Y79" s="131"/>
      <c r="Z79" s="132"/>
      <c r="AA79" s="134"/>
      <c r="AB79" s="131"/>
      <c r="AC79" s="131"/>
      <c r="AD79" s="132"/>
      <c r="AE79" s="134"/>
      <c r="AF79" s="131"/>
      <c r="AG79" s="131"/>
      <c r="AH79" s="132"/>
      <c r="AI79" s="134"/>
      <c r="AJ79" s="131"/>
      <c r="AK79" s="135"/>
      <c r="AL79" s="131"/>
      <c r="AM79" s="132"/>
      <c r="AN79" s="134"/>
      <c r="AO79" s="131"/>
      <c r="AP79" s="131"/>
      <c r="AQ79" s="132"/>
      <c r="AR79" s="134"/>
      <c r="AS79" s="131"/>
      <c r="AT79" s="131"/>
      <c r="AU79" s="131"/>
      <c r="AV79" s="132"/>
      <c r="AW79" s="134"/>
      <c r="AX79" s="131"/>
      <c r="AY79" s="131"/>
      <c r="AZ79" s="132"/>
      <c r="BA79" s="134"/>
      <c r="BB79" s="131"/>
      <c r="BC79" s="131"/>
      <c r="BD79" s="132"/>
      <c r="BE79" s="134"/>
      <c r="BF79" s="136"/>
      <c r="BG79" s="136"/>
      <c r="BH79" s="131"/>
      <c r="BI79" s="132"/>
      <c r="BJ79" s="133"/>
      <c r="BK79" s="135"/>
      <c r="BL79" s="131"/>
      <c r="BM79" s="136"/>
      <c r="BN79" s="134"/>
      <c r="BO79" s="131"/>
      <c r="BP79" s="131"/>
      <c r="BQ79" s="132"/>
      <c r="BR79" s="133"/>
      <c r="BS79" s="131"/>
      <c r="BT79" s="131"/>
      <c r="BU79" s="131"/>
      <c r="BV79" s="136"/>
      <c r="BW79" s="134"/>
      <c r="BX79" s="131"/>
      <c r="BY79" s="131"/>
      <c r="BZ79" s="132"/>
      <c r="CA79" s="133"/>
      <c r="CB79" s="131"/>
      <c r="CC79" s="131"/>
      <c r="CD79" s="132"/>
      <c r="CE79" s="137"/>
      <c r="CF79" s="133"/>
      <c r="CG79" s="138"/>
      <c r="CH79" s="138"/>
      <c r="CI79" s="139"/>
      <c r="CJ79" s="134"/>
      <c r="CK79" s="138"/>
      <c r="CL79" s="138"/>
      <c r="CM79" s="140"/>
      <c r="CR79" s="124"/>
      <c r="CV79" s="125"/>
      <c r="CW79" s="124"/>
      <c r="CZ79" s="126"/>
      <c r="DA79" s="124"/>
      <c r="DE79" s="124"/>
      <c r="DJ79" s="124"/>
      <c r="DK79" s="125"/>
      <c r="DM79" s="126"/>
      <c r="DN79" s="124"/>
      <c r="DS79" s="124"/>
      <c r="EA79" s="124"/>
      <c r="EE79" s="125"/>
      <c r="EF79" s="124"/>
      <c r="EJ79" s="124"/>
      <c r="EN79" s="124"/>
      <c r="ER79" s="126"/>
      <c r="EV79" s="125"/>
      <c r="EW79" s="124"/>
      <c r="EZ79" s="126"/>
      <c r="FF79" s="124"/>
      <c r="FI79" s="126"/>
      <c r="FK79" s="125"/>
      <c r="FN79" s="124"/>
      <c r="FR79" s="126"/>
      <c r="FW79" s="124"/>
      <c r="FZ79" s="126"/>
      <c r="GA79" s="124"/>
      <c r="GE79" s="141"/>
      <c r="GJ79" s="124"/>
      <c r="GM79" s="126"/>
      <c r="GS79" s="124"/>
      <c r="GV79" s="126"/>
      <c r="HA79" s="124"/>
      <c r="HE79" s="126"/>
      <c r="HJ79" s="124"/>
      <c r="HM79" s="126"/>
      <c r="HS79" s="124"/>
      <c r="HV79" s="126"/>
      <c r="IA79" s="124"/>
      <c r="IE79" s="125"/>
      <c r="IF79" s="124"/>
      <c r="II79" s="126"/>
      <c r="IN79" s="124"/>
      <c r="IR79" s="126"/>
      <c r="IW79" s="124"/>
      <c r="IZ79" s="126"/>
      <c r="JF79" s="124"/>
      <c r="JI79" s="126"/>
      <c r="JN79" s="124"/>
      <c r="JR79" s="126"/>
      <c r="JW79" s="124"/>
      <c r="JZ79" s="126"/>
      <c r="KD79" s="141"/>
      <c r="KE79" s="124"/>
      <c r="KH79" s="126"/>
    </row>
    <row r="80" spans="2:294" ht="19.2" thickBot="1">
      <c r="B80" s="127"/>
      <c r="C80" s="240"/>
      <c r="D80" s="158"/>
      <c r="E80" s="159"/>
      <c r="F80" s="160"/>
      <c r="G80" s="160"/>
      <c r="H80" s="160"/>
      <c r="I80" s="161"/>
      <c r="J80" s="162"/>
      <c r="K80" s="160"/>
      <c r="L80" s="160"/>
      <c r="M80" s="161"/>
      <c r="N80" s="163"/>
      <c r="O80" s="160"/>
      <c r="P80" s="160"/>
      <c r="Q80" s="161"/>
      <c r="R80" s="163"/>
      <c r="S80" s="160"/>
      <c r="T80" s="160"/>
      <c r="U80" s="161"/>
      <c r="V80" s="159"/>
      <c r="W80" s="160"/>
      <c r="X80" s="160"/>
      <c r="Y80" s="160"/>
      <c r="Z80" s="161"/>
      <c r="AA80" s="163"/>
      <c r="AB80" s="160"/>
      <c r="AC80" s="160"/>
      <c r="AD80" s="161"/>
      <c r="AE80" s="163"/>
      <c r="AF80" s="160"/>
      <c r="AG80" s="160"/>
      <c r="AH80" s="161"/>
      <c r="AI80" s="163"/>
      <c r="AJ80" s="160"/>
      <c r="AK80" s="164"/>
      <c r="AL80" s="160"/>
      <c r="AM80" s="161"/>
      <c r="AN80" s="163"/>
      <c r="AO80" s="160"/>
      <c r="AP80" s="160"/>
      <c r="AQ80" s="161"/>
      <c r="AR80" s="163"/>
      <c r="AS80" s="160"/>
      <c r="AT80" s="160"/>
      <c r="AU80" s="160"/>
      <c r="AV80" s="161"/>
      <c r="AW80" s="163"/>
      <c r="AX80" s="160"/>
      <c r="AY80" s="160"/>
      <c r="AZ80" s="161"/>
      <c r="BA80" s="163"/>
      <c r="BB80" s="160"/>
      <c r="BC80" s="160"/>
      <c r="BD80" s="161"/>
      <c r="BE80" s="163"/>
      <c r="BF80" s="165"/>
      <c r="BG80" s="165"/>
      <c r="BH80" s="160"/>
      <c r="BI80" s="161"/>
      <c r="BJ80" s="162"/>
      <c r="BK80" s="164"/>
      <c r="BL80" s="160"/>
      <c r="BM80" s="165"/>
      <c r="BN80" s="163"/>
      <c r="BO80" s="160"/>
      <c r="BP80" s="160"/>
      <c r="BQ80" s="161"/>
      <c r="BR80" s="162"/>
      <c r="BS80" s="160"/>
      <c r="BT80" s="160"/>
      <c r="BU80" s="160"/>
      <c r="BV80" s="165"/>
      <c r="BW80" s="163"/>
      <c r="BX80" s="160"/>
      <c r="BY80" s="160"/>
      <c r="BZ80" s="161"/>
      <c r="CA80" s="162"/>
      <c r="CB80" s="160"/>
      <c r="CC80" s="160"/>
      <c r="CD80" s="161"/>
      <c r="CE80" s="166"/>
      <c r="CF80" s="162"/>
      <c r="CG80" s="167"/>
      <c r="CH80" s="167"/>
      <c r="CI80" s="168"/>
      <c r="CJ80" s="163"/>
      <c r="CK80" s="167"/>
      <c r="CL80" s="167"/>
      <c r="CM80" s="169"/>
      <c r="CN80" s="145"/>
      <c r="CO80" s="145"/>
      <c r="CP80" s="145"/>
      <c r="CQ80" s="145"/>
      <c r="CR80" s="146"/>
      <c r="CS80" s="145"/>
      <c r="CT80" s="145"/>
      <c r="CU80" s="145"/>
      <c r="CV80" s="147"/>
      <c r="CW80" s="146"/>
      <c r="CX80" s="145"/>
      <c r="CY80" s="145"/>
      <c r="CZ80" s="148"/>
      <c r="DA80" s="146"/>
      <c r="DB80" s="145"/>
      <c r="DC80" s="145"/>
      <c r="DD80" s="145"/>
      <c r="DE80" s="146"/>
      <c r="DF80" s="145"/>
      <c r="DG80" s="145"/>
      <c r="DH80" s="145"/>
      <c r="DI80" s="145"/>
      <c r="DJ80" s="146"/>
      <c r="DK80" s="147"/>
      <c r="DL80" s="145"/>
      <c r="DM80" s="148"/>
      <c r="DN80" s="146"/>
      <c r="DO80" s="145"/>
      <c r="DP80" s="145"/>
      <c r="DQ80" s="145"/>
      <c r="DR80" s="145"/>
      <c r="DS80" s="146"/>
      <c r="DT80" s="145"/>
      <c r="DU80" s="145"/>
      <c r="DV80" s="145"/>
      <c r="DW80" s="145"/>
      <c r="DX80" s="145"/>
      <c r="DY80" s="145"/>
      <c r="DZ80" s="145"/>
      <c r="EA80" s="146"/>
      <c r="EB80" s="145"/>
      <c r="EC80" s="145"/>
      <c r="ED80" s="145"/>
      <c r="EE80" s="147"/>
      <c r="EF80" s="146"/>
      <c r="EG80" s="145"/>
      <c r="EH80" s="145"/>
      <c r="EI80" s="145"/>
      <c r="EJ80" s="146"/>
      <c r="EK80" s="145"/>
      <c r="EL80" s="145"/>
      <c r="EM80" s="145"/>
      <c r="EN80" s="146"/>
      <c r="EO80" s="145"/>
      <c r="EP80" s="145"/>
      <c r="EQ80" s="145"/>
      <c r="ER80" s="148"/>
      <c r="ES80" s="145"/>
      <c r="ET80" s="145"/>
      <c r="EU80" s="145"/>
      <c r="EV80" s="147"/>
      <c r="EW80" s="146"/>
      <c r="EX80" s="145"/>
      <c r="EY80" s="145"/>
      <c r="EZ80" s="148"/>
      <c r="FA80" s="145"/>
      <c r="FB80" s="145"/>
      <c r="FC80" s="145"/>
      <c r="FD80" s="145"/>
      <c r="FE80" s="145"/>
      <c r="FF80" s="146"/>
      <c r="FG80" s="145"/>
      <c r="FH80" s="145"/>
      <c r="FI80" s="148"/>
      <c r="FJ80" s="145"/>
      <c r="FK80" s="147"/>
      <c r="FL80" s="145"/>
      <c r="FM80" s="145"/>
      <c r="FN80" s="146"/>
      <c r="FO80" s="145"/>
      <c r="FP80" s="145"/>
      <c r="FQ80" s="145"/>
      <c r="FR80" s="148"/>
      <c r="FS80" s="145"/>
      <c r="FT80" s="145"/>
      <c r="FU80" s="145"/>
      <c r="FV80" s="145"/>
      <c r="FW80" s="146"/>
      <c r="FX80" s="145"/>
      <c r="FY80" s="145"/>
      <c r="FZ80" s="148"/>
      <c r="GA80" s="146"/>
      <c r="GB80" s="145"/>
      <c r="GC80" s="145"/>
      <c r="GD80" s="145"/>
      <c r="GE80" s="149"/>
      <c r="GF80" s="145"/>
      <c r="GG80" s="145"/>
      <c r="GH80" s="145"/>
      <c r="GI80" s="145"/>
      <c r="GJ80" s="146"/>
      <c r="GK80" s="145"/>
      <c r="GL80" s="145"/>
      <c r="GM80" s="148"/>
      <c r="GN80" s="145"/>
      <c r="GO80" s="145"/>
      <c r="GP80" s="145"/>
      <c r="GQ80" s="145"/>
      <c r="GR80" s="145"/>
      <c r="GS80" s="146"/>
      <c r="GT80" s="145"/>
      <c r="GU80" s="145"/>
      <c r="GV80" s="148"/>
      <c r="GW80" s="145"/>
      <c r="GX80" s="145"/>
      <c r="GY80" s="145"/>
      <c r="GZ80" s="145"/>
      <c r="HA80" s="146"/>
      <c r="HB80" s="145"/>
      <c r="HC80" s="145"/>
      <c r="HD80" s="145"/>
      <c r="HE80" s="148"/>
      <c r="HF80" s="145"/>
      <c r="HG80" s="145"/>
      <c r="HH80" s="145"/>
      <c r="HI80" s="145"/>
      <c r="HJ80" s="146"/>
      <c r="HK80" s="145"/>
      <c r="HL80" s="145"/>
      <c r="HM80" s="148"/>
      <c r="HN80" s="145"/>
      <c r="HO80" s="145"/>
      <c r="HP80" s="145"/>
      <c r="HQ80" s="145"/>
      <c r="HR80" s="145"/>
      <c r="HS80" s="146"/>
      <c r="HT80" s="145"/>
      <c r="HU80" s="145"/>
      <c r="HV80" s="148"/>
      <c r="HW80" s="145"/>
      <c r="HX80" s="145"/>
      <c r="HY80" s="145"/>
      <c r="HZ80" s="145"/>
      <c r="IA80" s="146"/>
      <c r="IB80" s="145"/>
      <c r="IC80" s="145"/>
      <c r="ID80" s="145"/>
      <c r="IE80" s="147"/>
      <c r="IF80" s="146"/>
      <c r="IG80" s="145"/>
      <c r="IH80" s="145"/>
      <c r="II80" s="148"/>
      <c r="IJ80" s="145"/>
      <c r="IK80" s="145"/>
      <c r="IL80" s="145"/>
      <c r="IM80" s="145"/>
      <c r="IN80" s="146"/>
      <c r="IO80" s="145"/>
      <c r="IP80" s="145"/>
      <c r="IQ80" s="145"/>
      <c r="IR80" s="148"/>
      <c r="IS80" s="145"/>
      <c r="IT80" s="145"/>
      <c r="IU80" s="145"/>
      <c r="IV80" s="145"/>
      <c r="IW80" s="146"/>
      <c r="IX80" s="145"/>
      <c r="IY80" s="145"/>
      <c r="IZ80" s="148"/>
      <c r="JA80" s="145"/>
      <c r="JB80" s="145"/>
      <c r="JC80" s="145"/>
      <c r="JD80" s="145"/>
      <c r="JE80" s="145"/>
      <c r="JF80" s="146"/>
      <c r="JG80" s="145"/>
      <c r="JH80" s="145"/>
      <c r="JI80" s="148"/>
      <c r="JJ80" s="145"/>
      <c r="JK80" s="145"/>
      <c r="JL80" s="145"/>
      <c r="JM80" s="145"/>
      <c r="JN80" s="146"/>
      <c r="JO80" s="145"/>
      <c r="JP80" s="145"/>
      <c r="JQ80" s="145"/>
      <c r="JR80" s="148"/>
      <c r="JS80" s="145"/>
      <c r="JT80" s="145"/>
      <c r="JU80" s="145"/>
      <c r="JV80" s="145"/>
      <c r="JW80" s="146"/>
      <c r="JX80" s="145"/>
      <c r="JY80" s="145"/>
      <c r="JZ80" s="148"/>
      <c r="KA80" s="145"/>
      <c r="KB80" s="145"/>
      <c r="KC80" s="145"/>
      <c r="KD80" s="149"/>
      <c r="KE80" s="146"/>
      <c r="KF80" s="145"/>
      <c r="KG80" s="145"/>
      <c r="KH80" s="148"/>
    </row>
    <row r="81" spans="2:294" ht="22.8" thickTop="1">
      <c r="B81" s="127"/>
      <c r="C81" s="234" t="s">
        <v>184</v>
      </c>
      <c r="D81" s="129" t="s">
        <v>192</v>
      </c>
      <c r="E81" s="130"/>
      <c r="F81" s="131"/>
      <c r="G81" s="131"/>
      <c r="H81" s="131"/>
      <c r="I81" s="132"/>
      <c r="J81" s="133"/>
      <c r="K81" s="131"/>
      <c r="L81" s="131"/>
      <c r="M81" s="132"/>
      <c r="N81" s="134"/>
      <c r="O81" s="131"/>
      <c r="P81" s="131"/>
      <c r="Q81" s="132"/>
      <c r="R81" s="134"/>
      <c r="S81" s="131"/>
      <c r="T81" s="131"/>
      <c r="U81" s="132"/>
      <c r="V81" s="130"/>
      <c r="W81" s="131"/>
      <c r="X81" s="131"/>
      <c r="Y81" s="131"/>
      <c r="Z81" s="132"/>
      <c r="AA81" s="134"/>
      <c r="AB81" s="131"/>
      <c r="AC81" s="131"/>
      <c r="AD81" s="132"/>
      <c r="AE81" s="134"/>
      <c r="AF81" s="131"/>
      <c r="AG81" s="131"/>
      <c r="AH81" s="132"/>
      <c r="AI81" s="134"/>
      <c r="AJ81" s="131"/>
      <c r="AK81" s="135"/>
      <c r="AL81" s="131"/>
      <c r="AM81" s="132"/>
      <c r="AN81" s="134"/>
      <c r="AO81" s="131"/>
      <c r="AP81" s="131"/>
      <c r="AQ81" s="132"/>
      <c r="AR81" s="134"/>
      <c r="AS81" s="131"/>
      <c r="AT81" s="131"/>
      <c r="AU81" s="131"/>
      <c r="AV81" s="132"/>
      <c r="AW81" s="134"/>
      <c r="AX81" s="131"/>
      <c r="AY81" s="131"/>
      <c r="AZ81" s="132"/>
      <c r="BA81" s="134"/>
      <c r="BB81" s="131"/>
      <c r="BC81" s="131"/>
      <c r="BD81" s="132"/>
      <c r="BE81" s="134"/>
      <c r="BF81" s="136"/>
      <c r="BG81" s="136"/>
      <c r="BH81" s="131"/>
      <c r="BI81" s="132"/>
      <c r="BJ81" s="133"/>
      <c r="BK81" s="135"/>
      <c r="BL81" s="131"/>
      <c r="BM81" s="136"/>
      <c r="BN81" s="134"/>
      <c r="BO81" s="131"/>
      <c r="BP81" s="131"/>
      <c r="BQ81" s="132"/>
      <c r="BR81" s="133"/>
      <c r="BS81" s="131"/>
      <c r="BT81" s="131"/>
      <c r="BU81" s="131"/>
      <c r="BV81" s="136"/>
      <c r="BW81" s="134"/>
      <c r="BX81" s="131"/>
      <c r="BY81" s="131"/>
      <c r="BZ81" s="132"/>
      <c r="CA81" s="133"/>
      <c r="CB81" s="131"/>
      <c r="CC81" s="131"/>
      <c r="CD81" s="132"/>
      <c r="CE81" s="137"/>
      <c r="CF81" s="133"/>
      <c r="CG81" s="138"/>
      <c r="CH81" s="138"/>
      <c r="CI81" s="139"/>
      <c r="CJ81" s="134"/>
      <c r="CK81" s="138"/>
      <c r="CL81" s="138"/>
      <c r="CM81" s="140"/>
      <c r="CN81" s="151"/>
      <c r="CO81" s="151"/>
      <c r="CP81" s="151"/>
      <c r="CQ81" s="151"/>
      <c r="CR81" s="150"/>
      <c r="CS81" s="151"/>
      <c r="CT81" s="151"/>
      <c r="CU81" s="151"/>
      <c r="CV81" s="152"/>
      <c r="CW81" s="150"/>
      <c r="CX81" s="153"/>
      <c r="CY81" s="151"/>
      <c r="CZ81" s="154"/>
      <c r="DA81" s="155"/>
      <c r="DB81" s="236"/>
      <c r="DC81" s="151"/>
      <c r="DD81" s="151"/>
      <c r="DE81" s="150"/>
      <c r="DF81" s="151"/>
      <c r="DG81" s="151"/>
      <c r="DH81" s="151"/>
      <c r="DI81" s="151"/>
      <c r="DJ81" s="150"/>
      <c r="DK81" s="152"/>
      <c r="DL81" s="151"/>
      <c r="DM81" s="154"/>
      <c r="DN81" s="150"/>
      <c r="DO81" s="151"/>
      <c r="DP81" s="151"/>
      <c r="DQ81" s="151"/>
      <c r="DR81" s="151"/>
      <c r="DS81" s="150"/>
      <c r="DT81" s="236"/>
      <c r="DU81" s="151"/>
      <c r="DV81" s="151"/>
      <c r="DW81" s="151"/>
      <c r="DX81" s="151"/>
      <c r="DY81" s="151"/>
      <c r="DZ81" s="151"/>
      <c r="EA81" s="237"/>
      <c r="EB81" s="151"/>
      <c r="EC81" s="151"/>
      <c r="ED81" s="151"/>
      <c r="EE81" s="152"/>
      <c r="EF81" s="150"/>
      <c r="EG81" s="151"/>
      <c r="EH81" s="151"/>
      <c r="EI81" s="151"/>
      <c r="EJ81" s="150"/>
      <c r="EK81" s="151"/>
      <c r="EL81" s="151"/>
      <c r="EM81" s="151"/>
      <c r="EN81" s="150"/>
      <c r="EO81" s="151"/>
      <c r="EP81" s="151"/>
      <c r="EQ81" s="151"/>
      <c r="ER81" s="154"/>
      <c r="ES81" s="151"/>
      <c r="ET81" s="151"/>
      <c r="EU81" s="151"/>
      <c r="EV81" s="152"/>
      <c r="EW81" s="150"/>
      <c r="EX81" s="151"/>
      <c r="EY81" s="151"/>
      <c r="EZ81" s="154"/>
      <c r="FA81" s="151"/>
      <c r="FB81" s="151"/>
      <c r="FC81" s="151"/>
      <c r="FD81" s="151"/>
      <c r="FE81" s="151"/>
      <c r="FF81" s="237"/>
      <c r="FG81" s="151"/>
      <c r="FH81" s="151"/>
      <c r="FI81" s="154"/>
      <c r="FJ81" s="151"/>
      <c r="FK81" s="152"/>
      <c r="FL81" s="151"/>
      <c r="FM81" s="151"/>
      <c r="FN81" s="237"/>
      <c r="FO81" s="151"/>
      <c r="FP81" s="151"/>
      <c r="FQ81" s="151"/>
      <c r="FR81" s="154"/>
      <c r="FS81" s="151"/>
      <c r="FT81" s="151"/>
      <c r="FU81" s="151"/>
      <c r="FV81" s="151"/>
      <c r="FW81" s="150"/>
      <c r="FX81" s="151"/>
      <c r="FY81" s="151"/>
      <c r="FZ81" s="154"/>
      <c r="GA81" s="150"/>
      <c r="GB81" s="151"/>
      <c r="GC81" s="151"/>
      <c r="GD81" s="151"/>
      <c r="GE81" s="156"/>
      <c r="GJ81" s="124"/>
      <c r="GM81" s="126"/>
      <c r="GS81" s="124"/>
      <c r="GV81" s="126"/>
      <c r="HA81" s="124"/>
      <c r="HE81" s="126"/>
      <c r="HJ81" s="124"/>
      <c r="HM81" s="126"/>
      <c r="HS81" s="124"/>
      <c r="HV81" s="126"/>
      <c r="IA81" s="124"/>
      <c r="IE81" s="125"/>
      <c r="IF81" s="124"/>
      <c r="II81" s="126"/>
      <c r="IN81" s="124"/>
      <c r="IR81" s="126"/>
      <c r="IW81" s="124"/>
      <c r="IZ81" s="126"/>
      <c r="JF81" s="124"/>
      <c r="JI81" s="126"/>
      <c r="JN81" s="124"/>
      <c r="JR81" s="126"/>
      <c r="JW81" s="124"/>
      <c r="JZ81" s="126"/>
      <c r="KD81" s="141"/>
      <c r="KE81" s="124"/>
      <c r="KH81" s="126"/>
    </row>
    <row r="82" spans="2:294" ht="18.600000000000001">
      <c r="B82" s="127"/>
      <c r="C82" s="234" t="s">
        <v>180</v>
      </c>
      <c r="D82" s="129"/>
      <c r="E82" s="130"/>
      <c r="F82" s="131"/>
      <c r="G82" s="131"/>
      <c r="H82" s="131"/>
      <c r="I82" s="132"/>
      <c r="J82" s="133"/>
      <c r="K82" s="131"/>
      <c r="L82" s="131"/>
      <c r="M82" s="132"/>
      <c r="N82" s="134"/>
      <c r="O82" s="131"/>
      <c r="P82" s="131"/>
      <c r="Q82" s="132"/>
      <c r="R82" s="134"/>
      <c r="S82" s="131"/>
      <c r="T82" s="131"/>
      <c r="U82" s="132"/>
      <c r="V82" s="130"/>
      <c r="W82" s="131"/>
      <c r="X82" s="131"/>
      <c r="Y82" s="131"/>
      <c r="Z82" s="132"/>
      <c r="AA82" s="134"/>
      <c r="AB82" s="131"/>
      <c r="AC82" s="131"/>
      <c r="AD82" s="132"/>
      <c r="AE82" s="134"/>
      <c r="AF82" s="131"/>
      <c r="AG82" s="131"/>
      <c r="AH82" s="132"/>
      <c r="AI82" s="134"/>
      <c r="AJ82" s="131"/>
      <c r="AK82" s="135"/>
      <c r="AL82" s="131"/>
      <c r="AM82" s="132"/>
      <c r="AN82" s="134"/>
      <c r="AO82" s="131"/>
      <c r="AP82" s="131"/>
      <c r="AQ82" s="132"/>
      <c r="AR82" s="134"/>
      <c r="AS82" s="131"/>
      <c r="AT82" s="131"/>
      <c r="AU82" s="131"/>
      <c r="AV82" s="132"/>
      <c r="AW82" s="134"/>
      <c r="AX82" s="131"/>
      <c r="AY82" s="131"/>
      <c r="AZ82" s="132"/>
      <c r="BA82" s="134"/>
      <c r="BB82" s="131"/>
      <c r="BC82" s="131"/>
      <c r="BD82" s="132"/>
      <c r="BE82" s="134"/>
      <c r="BF82" s="136"/>
      <c r="BG82" s="136"/>
      <c r="BH82" s="131"/>
      <c r="BI82" s="132"/>
      <c r="BJ82" s="133"/>
      <c r="BK82" s="135"/>
      <c r="BL82" s="131"/>
      <c r="BM82" s="136"/>
      <c r="BN82" s="134"/>
      <c r="BO82" s="131"/>
      <c r="BP82" s="131"/>
      <c r="BQ82" s="132"/>
      <c r="BR82" s="133"/>
      <c r="BS82" s="131"/>
      <c r="BT82" s="131"/>
      <c r="BU82" s="131"/>
      <c r="BV82" s="136"/>
      <c r="BW82" s="134"/>
      <c r="BX82" s="131"/>
      <c r="BY82" s="131"/>
      <c r="BZ82" s="132"/>
      <c r="CA82" s="133"/>
      <c r="CB82" s="131"/>
      <c r="CC82" s="131"/>
      <c r="CD82" s="132"/>
      <c r="CE82" s="137"/>
      <c r="CF82" s="133"/>
      <c r="CG82" s="138"/>
      <c r="CH82" s="138"/>
      <c r="CI82" s="139"/>
      <c r="CJ82" s="134"/>
      <c r="CK82" s="138"/>
      <c r="CL82" s="138"/>
      <c r="CM82" s="140"/>
      <c r="CR82" s="124"/>
      <c r="CV82" s="125"/>
      <c r="CW82" s="124"/>
      <c r="CZ82" s="126"/>
      <c r="DA82" s="124"/>
      <c r="DE82" s="124"/>
      <c r="DJ82" s="124"/>
      <c r="DK82" s="125"/>
      <c r="DM82" s="126"/>
      <c r="DN82" s="124"/>
      <c r="DS82" s="124"/>
      <c r="EA82" s="124"/>
      <c r="EE82" s="125"/>
      <c r="EF82" s="124"/>
      <c r="EJ82" s="124"/>
      <c r="EN82" s="124"/>
      <c r="ER82" s="126"/>
      <c r="EV82" s="125"/>
      <c r="EW82" s="124"/>
      <c r="EZ82" s="126"/>
      <c r="FF82" s="124"/>
      <c r="FI82" s="126"/>
      <c r="FK82" s="125"/>
      <c r="FN82" s="124"/>
      <c r="FR82" s="126"/>
      <c r="FW82" s="124"/>
      <c r="FZ82" s="126"/>
      <c r="GA82" s="124"/>
      <c r="GE82" s="141"/>
      <c r="GJ82" s="124"/>
      <c r="GM82" s="126"/>
      <c r="GS82" s="124"/>
      <c r="GV82" s="126"/>
      <c r="HA82" s="124"/>
      <c r="HE82" s="126"/>
      <c r="HJ82" s="124"/>
      <c r="HM82" s="126"/>
      <c r="HS82" s="124"/>
      <c r="HV82" s="126"/>
      <c r="IA82" s="124"/>
      <c r="IE82" s="125"/>
      <c r="IF82" s="124"/>
      <c r="II82" s="126"/>
      <c r="IN82" s="124"/>
      <c r="IR82" s="126"/>
      <c r="IW82" s="124"/>
      <c r="IZ82" s="126"/>
      <c r="JF82" s="124"/>
      <c r="JI82" s="126"/>
      <c r="JN82" s="124"/>
      <c r="JR82" s="126"/>
      <c r="JW82" s="124"/>
      <c r="JZ82" s="126"/>
      <c r="KD82" s="141"/>
      <c r="KE82" s="124"/>
      <c r="KH82" s="126"/>
    </row>
    <row r="83" spans="2:294" ht="18.600000000000001">
      <c r="B83" s="127"/>
      <c r="C83" s="241"/>
      <c r="D83" s="129"/>
      <c r="E83" s="130"/>
      <c r="F83" s="131"/>
      <c r="G83" s="131"/>
      <c r="H83" s="131"/>
      <c r="I83" s="132"/>
      <c r="J83" s="133"/>
      <c r="K83" s="131"/>
      <c r="L83" s="131"/>
      <c r="M83" s="132"/>
      <c r="N83" s="134"/>
      <c r="O83" s="131"/>
      <c r="P83" s="131"/>
      <c r="Q83" s="132"/>
      <c r="R83" s="134"/>
      <c r="S83" s="131"/>
      <c r="T83" s="131"/>
      <c r="U83" s="132"/>
      <c r="V83" s="130"/>
      <c r="W83" s="131"/>
      <c r="X83" s="131"/>
      <c r="Y83" s="131"/>
      <c r="Z83" s="132"/>
      <c r="AA83" s="134"/>
      <c r="AB83" s="131"/>
      <c r="AC83" s="131"/>
      <c r="AD83" s="132"/>
      <c r="AE83" s="134"/>
      <c r="AF83" s="131"/>
      <c r="AG83" s="131"/>
      <c r="AH83" s="132"/>
      <c r="AI83" s="134"/>
      <c r="AJ83" s="131"/>
      <c r="AK83" s="135"/>
      <c r="AL83" s="131"/>
      <c r="AM83" s="132"/>
      <c r="AN83" s="134"/>
      <c r="AO83" s="131"/>
      <c r="AP83" s="131"/>
      <c r="AQ83" s="132"/>
      <c r="AR83" s="134"/>
      <c r="AS83" s="131"/>
      <c r="AT83" s="131"/>
      <c r="AU83" s="131"/>
      <c r="AV83" s="132"/>
      <c r="AW83" s="134"/>
      <c r="AX83" s="131"/>
      <c r="AY83" s="131"/>
      <c r="AZ83" s="132"/>
      <c r="BA83" s="134"/>
      <c r="BB83" s="131"/>
      <c r="BC83" s="131"/>
      <c r="BD83" s="132"/>
      <c r="BE83" s="134"/>
      <c r="BF83" s="136"/>
      <c r="BG83" s="136"/>
      <c r="BH83" s="131"/>
      <c r="BI83" s="132"/>
      <c r="BJ83" s="133"/>
      <c r="BK83" s="135"/>
      <c r="BL83" s="131"/>
      <c r="BM83" s="136"/>
      <c r="BN83" s="134"/>
      <c r="BO83" s="131"/>
      <c r="BP83" s="131"/>
      <c r="BQ83" s="132"/>
      <c r="BR83" s="133"/>
      <c r="BS83" s="131"/>
      <c r="BT83" s="131"/>
      <c r="BU83" s="131"/>
      <c r="BV83" s="136"/>
      <c r="BW83" s="134"/>
      <c r="BX83" s="131"/>
      <c r="BY83" s="131"/>
      <c r="BZ83" s="132"/>
      <c r="CA83" s="133"/>
      <c r="CB83" s="131"/>
      <c r="CC83" s="131"/>
      <c r="CD83" s="132"/>
      <c r="CE83" s="137"/>
      <c r="CF83" s="133"/>
      <c r="CG83" s="138"/>
      <c r="CH83" s="138"/>
      <c r="CI83" s="139"/>
      <c r="CJ83" s="134"/>
      <c r="CK83" s="138"/>
      <c r="CL83" s="138"/>
      <c r="CM83" s="140"/>
      <c r="CR83" s="124"/>
      <c r="CV83" s="125"/>
      <c r="CW83" s="124"/>
      <c r="CZ83" s="126"/>
      <c r="DA83" s="124"/>
      <c r="DE83" s="124"/>
      <c r="DJ83" s="124"/>
      <c r="DK83" s="125"/>
      <c r="DM83" s="126"/>
      <c r="DN83" s="124"/>
      <c r="DS83" s="124"/>
      <c r="EA83" s="124"/>
      <c r="EE83" s="125"/>
      <c r="EF83" s="124"/>
      <c r="EJ83" s="124"/>
      <c r="EN83" s="124"/>
      <c r="ER83" s="126"/>
      <c r="EV83" s="125"/>
      <c r="EW83" s="124"/>
      <c r="EZ83" s="126"/>
      <c r="FF83" s="124"/>
      <c r="FI83" s="126"/>
      <c r="FK83" s="125"/>
      <c r="FN83" s="124"/>
      <c r="FR83" s="126"/>
      <c r="FW83" s="124"/>
      <c r="FZ83" s="126"/>
      <c r="GA83" s="124"/>
      <c r="GE83" s="141"/>
      <c r="GJ83" s="124"/>
      <c r="GM83" s="126"/>
      <c r="GS83" s="124"/>
      <c r="GV83" s="126"/>
      <c r="HA83" s="124"/>
      <c r="HE83" s="126"/>
      <c r="HJ83" s="124"/>
      <c r="HM83" s="126"/>
      <c r="HS83" s="124"/>
      <c r="HV83" s="126"/>
      <c r="IA83" s="124"/>
      <c r="IE83" s="125"/>
      <c r="IF83" s="124"/>
      <c r="II83" s="126"/>
      <c r="IN83" s="124"/>
      <c r="IR83" s="126"/>
      <c r="IW83" s="124"/>
      <c r="IZ83" s="126"/>
      <c r="JF83" s="124"/>
      <c r="JI83" s="126"/>
      <c r="JN83" s="124"/>
      <c r="JR83" s="126"/>
      <c r="JW83" s="124"/>
      <c r="JZ83" s="126"/>
      <c r="KD83" s="141"/>
      <c r="KE83" s="124"/>
      <c r="KH83" s="126"/>
    </row>
    <row r="84" spans="2:294" ht="18.600000000000001">
      <c r="B84" s="127"/>
      <c r="C84" s="239" t="s">
        <v>193</v>
      </c>
      <c r="D84" s="129"/>
      <c r="E84" s="130"/>
      <c r="F84" s="131"/>
      <c r="G84" s="131"/>
      <c r="H84" s="131"/>
      <c r="I84" s="132"/>
      <c r="J84" s="133"/>
      <c r="K84" s="131"/>
      <c r="L84" s="131"/>
      <c r="M84" s="132"/>
      <c r="N84" s="134"/>
      <c r="O84" s="131"/>
      <c r="P84" s="131"/>
      <c r="Q84" s="132"/>
      <c r="R84" s="134"/>
      <c r="S84" s="131"/>
      <c r="T84" s="131"/>
      <c r="U84" s="132"/>
      <c r="V84" s="130"/>
      <c r="W84" s="131"/>
      <c r="X84" s="131"/>
      <c r="Y84" s="131"/>
      <c r="Z84" s="132"/>
      <c r="AA84" s="134"/>
      <c r="AB84" s="131"/>
      <c r="AC84" s="131"/>
      <c r="AD84" s="132"/>
      <c r="AE84" s="134"/>
      <c r="AF84" s="131"/>
      <c r="AG84" s="131"/>
      <c r="AH84" s="132"/>
      <c r="AI84" s="134"/>
      <c r="AJ84" s="131"/>
      <c r="AK84" s="135"/>
      <c r="AL84" s="131"/>
      <c r="AM84" s="132"/>
      <c r="AN84" s="134"/>
      <c r="AO84" s="131"/>
      <c r="AP84" s="131"/>
      <c r="AQ84" s="132"/>
      <c r="AR84" s="134"/>
      <c r="AS84" s="131"/>
      <c r="AT84" s="131"/>
      <c r="AU84" s="131"/>
      <c r="AV84" s="132"/>
      <c r="AW84" s="134"/>
      <c r="AX84" s="131"/>
      <c r="AY84" s="131"/>
      <c r="AZ84" s="132"/>
      <c r="BA84" s="134"/>
      <c r="BB84" s="131"/>
      <c r="BC84" s="131"/>
      <c r="BD84" s="132"/>
      <c r="BE84" s="134"/>
      <c r="BF84" s="136"/>
      <c r="BG84" s="136"/>
      <c r="BH84" s="131"/>
      <c r="BI84" s="132"/>
      <c r="BJ84" s="133"/>
      <c r="BK84" s="135"/>
      <c r="BL84" s="131"/>
      <c r="BM84" s="136"/>
      <c r="BN84" s="134"/>
      <c r="BO84" s="131"/>
      <c r="BP84" s="131"/>
      <c r="BQ84" s="132"/>
      <c r="BR84" s="133"/>
      <c r="BS84" s="131"/>
      <c r="BT84" s="131"/>
      <c r="BU84" s="131"/>
      <c r="BV84" s="136"/>
      <c r="BW84" s="134"/>
      <c r="BX84" s="131"/>
      <c r="BY84" s="131"/>
      <c r="BZ84" s="132"/>
      <c r="CA84" s="133"/>
      <c r="CB84" s="131"/>
      <c r="CC84" s="131"/>
      <c r="CD84" s="132"/>
      <c r="CE84" s="137"/>
      <c r="CF84" s="133"/>
      <c r="CG84" s="138"/>
      <c r="CH84" s="138"/>
      <c r="CI84" s="139"/>
      <c r="CJ84" s="134"/>
      <c r="CK84" s="138"/>
      <c r="CL84" s="138"/>
      <c r="CM84" s="140"/>
      <c r="CR84" s="124"/>
      <c r="CV84" s="125"/>
      <c r="CW84" s="124"/>
      <c r="CZ84" s="126"/>
      <c r="DA84" s="124"/>
      <c r="DE84" s="124"/>
      <c r="DJ84" s="124"/>
      <c r="DK84" s="125"/>
      <c r="DM84" s="126"/>
      <c r="DN84" s="124"/>
      <c r="DS84" s="124"/>
      <c r="EA84" s="124"/>
      <c r="EE84" s="125"/>
      <c r="EF84" s="124"/>
      <c r="EJ84" s="124"/>
      <c r="EN84" s="124"/>
      <c r="ER84" s="126"/>
      <c r="EV84" s="125"/>
      <c r="EW84" s="124"/>
      <c r="EZ84" s="126"/>
      <c r="FF84" s="124"/>
      <c r="FI84" s="126"/>
      <c r="FK84" s="125"/>
      <c r="FN84" s="124"/>
      <c r="FR84" s="126"/>
      <c r="FW84" s="124"/>
      <c r="FZ84" s="126"/>
      <c r="GA84" s="124"/>
      <c r="GE84" s="141"/>
      <c r="GJ84" s="124"/>
      <c r="GM84" s="126"/>
      <c r="GS84" s="124"/>
      <c r="GV84" s="126"/>
      <c r="HA84" s="124"/>
      <c r="HE84" s="126"/>
      <c r="HJ84" s="124"/>
      <c r="HM84" s="126"/>
      <c r="HS84" s="124"/>
      <c r="HV84" s="126"/>
      <c r="IA84" s="124"/>
      <c r="IE84" s="125"/>
      <c r="IF84" s="124"/>
      <c r="II84" s="126"/>
      <c r="IN84" s="124"/>
      <c r="IR84" s="126"/>
      <c r="IW84" s="124"/>
      <c r="IZ84" s="126"/>
      <c r="JF84" s="124"/>
      <c r="JI84" s="126"/>
      <c r="JN84" s="124"/>
      <c r="JR84" s="126"/>
      <c r="JW84" s="124"/>
      <c r="JZ84" s="126"/>
      <c r="KD84" s="141"/>
      <c r="KE84" s="124"/>
      <c r="KH84" s="126"/>
    </row>
    <row r="85" spans="2:294" ht="19.2" thickBot="1">
      <c r="B85" s="127"/>
      <c r="C85" s="240"/>
      <c r="D85" s="158"/>
      <c r="E85" s="159"/>
      <c r="F85" s="160"/>
      <c r="G85" s="160"/>
      <c r="H85" s="160"/>
      <c r="I85" s="161"/>
      <c r="J85" s="162"/>
      <c r="K85" s="160"/>
      <c r="L85" s="160"/>
      <c r="M85" s="161"/>
      <c r="N85" s="163"/>
      <c r="O85" s="160"/>
      <c r="P85" s="160"/>
      <c r="Q85" s="161"/>
      <c r="R85" s="163"/>
      <c r="S85" s="160"/>
      <c r="T85" s="160"/>
      <c r="U85" s="161"/>
      <c r="V85" s="159"/>
      <c r="W85" s="160"/>
      <c r="X85" s="160"/>
      <c r="Y85" s="160"/>
      <c r="Z85" s="161"/>
      <c r="AA85" s="163"/>
      <c r="AB85" s="160"/>
      <c r="AC85" s="160"/>
      <c r="AD85" s="161"/>
      <c r="AE85" s="163"/>
      <c r="AF85" s="160"/>
      <c r="AG85" s="160"/>
      <c r="AH85" s="161"/>
      <c r="AI85" s="163"/>
      <c r="AJ85" s="160"/>
      <c r="AK85" s="164"/>
      <c r="AL85" s="160"/>
      <c r="AM85" s="161"/>
      <c r="AN85" s="163"/>
      <c r="AO85" s="160"/>
      <c r="AP85" s="160"/>
      <c r="AQ85" s="161"/>
      <c r="AR85" s="163"/>
      <c r="AS85" s="160"/>
      <c r="AT85" s="160"/>
      <c r="AU85" s="160"/>
      <c r="AV85" s="161"/>
      <c r="AW85" s="163"/>
      <c r="AX85" s="160"/>
      <c r="AY85" s="160"/>
      <c r="AZ85" s="161"/>
      <c r="BA85" s="163"/>
      <c r="BB85" s="160"/>
      <c r="BC85" s="160"/>
      <c r="BD85" s="161"/>
      <c r="BE85" s="163"/>
      <c r="BF85" s="165"/>
      <c r="BG85" s="165"/>
      <c r="BH85" s="160"/>
      <c r="BI85" s="161"/>
      <c r="BJ85" s="162"/>
      <c r="BK85" s="164"/>
      <c r="BL85" s="160"/>
      <c r="BM85" s="165"/>
      <c r="BN85" s="163"/>
      <c r="BO85" s="160"/>
      <c r="BP85" s="160"/>
      <c r="BQ85" s="161"/>
      <c r="BR85" s="162"/>
      <c r="BS85" s="160"/>
      <c r="BT85" s="160"/>
      <c r="BU85" s="160"/>
      <c r="BV85" s="165"/>
      <c r="BW85" s="163"/>
      <c r="BX85" s="160"/>
      <c r="BY85" s="160"/>
      <c r="BZ85" s="161"/>
      <c r="CA85" s="162"/>
      <c r="CB85" s="160"/>
      <c r="CC85" s="160"/>
      <c r="CD85" s="161"/>
      <c r="CE85" s="166"/>
      <c r="CF85" s="162"/>
      <c r="CG85" s="167"/>
      <c r="CH85" s="167"/>
      <c r="CI85" s="168"/>
      <c r="CJ85" s="163"/>
      <c r="CK85" s="167"/>
      <c r="CL85" s="167"/>
      <c r="CM85" s="169"/>
      <c r="CN85" s="145"/>
      <c r="CO85" s="145"/>
      <c r="CP85" s="145"/>
      <c r="CQ85" s="145"/>
      <c r="CR85" s="146"/>
      <c r="CS85" s="145"/>
      <c r="CT85" s="145"/>
      <c r="CU85" s="145"/>
      <c r="CV85" s="147"/>
      <c r="CW85" s="146"/>
      <c r="CX85" s="145"/>
      <c r="CY85" s="145"/>
      <c r="CZ85" s="148"/>
      <c r="DA85" s="146"/>
      <c r="DB85" s="145"/>
      <c r="DC85" s="145"/>
      <c r="DD85" s="145"/>
      <c r="DE85" s="146"/>
      <c r="DF85" s="145"/>
      <c r="DG85" s="145"/>
      <c r="DH85" s="145"/>
      <c r="DI85" s="145"/>
      <c r="DJ85" s="146"/>
      <c r="DK85" s="147"/>
      <c r="DL85" s="145"/>
      <c r="DM85" s="148"/>
      <c r="DN85" s="146"/>
      <c r="DO85" s="145"/>
      <c r="DP85" s="145"/>
      <c r="DQ85" s="145"/>
      <c r="DR85" s="145"/>
      <c r="DS85" s="146"/>
      <c r="DT85" s="145"/>
      <c r="DU85" s="145"/>
      <c r="DV85" s="145"/>
      <c r="DW85" s="145"/>
      <c r="DX85" s="145"/>
      <c r="DY85" s="145"/>
      <c r="DZ85" s="145"/>
      <c r="EA85" s="146"/>
      <c r="EB85" s="145"/>
      <c r="EC85" s="145"/>
      <c r="ED85" s="145"/>
      <c r="EE85" s="147"/>
      <c r="EF85" s="146"/>
      <c r="EG85" s="145"/>
      <c r="EH85" s="145"/>
      <c r="EI85" s="145"/>
      <c r="EJ85" s="146"/>
      <c r="EK85" s="145"/>
      <c r="EL85" s="145"/>
      <c r="EM85" s="145"/>
      <c r="EN85" s="146"/>
      <c r="EO85" s="145"/>
      <c r="EP85" s="145"/>
      <c r="EQ85" s="145"/>
      <c r="ER85" s="148"/>
      <c r="ES85" s="145"/>
      <c r="ET85" s="145"/>
      <c r="EU85" s="145"/>
      <c r="EV85" s="147"/>
      <c r="EW85" s="146"/>
      <c r="EX85" s="145"/>
      <c r="EY85" s="145"/>
      <c r="EZ85" s="148"/>
      <c r="FA85" s="145"/>
      <c r="FB85" s="145"/>
      <c r="FC85" s="145"/>
      <c r="FD85" s="145"/>
      <c r="FE85" s="145"/>
      <c r="FF85" s="146"/>
      <c r="FG85" s="145"/>
      <c r="FH85" s="145"/>
      <c r="FI85" s="148"/>
      <c r="FJ85" s="145"/>
      <c r="FK85" s="147"/>
      <c r="FL85" s="145"/>
      <c r="FM85" s="145"/>
      <c r="FN85" s="146"/>
      <c r="FO85" s="145"/>
      <c r="FP85" s="145"/>
      <c r="FQ85" s="145"/>
      <c r="FR85" s="148"/>
      <c r="FS85" s="145"/>
      <c r="FT85" s="145"/>
      <c r="FU85" s="145"/>
      <c r="FV85" s="145"/>
      <c r="FW85" s="146"/>
      <c r="FX85" s="145"/>
      <c r="FY85" s="145"/>
      <c r="FZ85" s="148"/>
      <c r="GA85" s="146"/>
      <c r="GB85" s="145"/>
      <c r="GC85" s="145"/>
      <c r="GD85" s="145"/>
      <c r="GE85" s="149"/>
      <c r="GF85" s="145"/>
      <c r="GG85" s="145"/>
      <c r="GH85" s="145"/>
      <c r="GI85" s="145"/>
      <c r="GJ85" s="146"/>
      <c r="GK85" s="145"/>
      <c r="GL85" s="145"/>
      <c r="GM85" s="148"/>
      <c r="GN85" s="145"/>
      <c r="GO85" s="145"/>
      <c r="GP85" s="145"/>
      <c r="GQ85" s="145"/>
      <c r="GR85" s="145"/>
      <c r="GS85" s="146"/>
      <c r="GT85" s="145"/>
      <c r="GU85" s="145"/>
      <c r="GV85" s="148"/>
      <c r="GW85" s="145"/>
      <c r="GX85" s="145"/>
      <c r="GY85" s="145"/>
      <c r="GZ85" s="145"/>
      <c r="HA85" s="146"/>
      <c r="HB85" s="145"/>
      <c r="HC85" s="145"/>
      <c r="HD85" s="145"/>
      <c r="HE85" s="148"/>
      <c r="HF85" s="145"/>
      <c r="HG85" s="145"/>
      <c r="HH85" s="145"/>
      <c r="HI85" s="145"/>
      <c r="HJ85" s="146"/>
      <c r="HK85" s="145"/>
      <c r="HL85" s="145"/>
      <c r="HM85" s="148"/>
      <c r="HN85" s="145"/>
      <c r="HO85" s="145"/>
      <c r="HP85" s="145"/>
      <c r="HQ85" s="145"/>
      <c r="HR85" s="145"/>
      <c r="HS85" s="146"/>
      <c r="HT85" s="145"/>
      <c r="HU85" s="145"/>
      <c r="HV85" s="148"/>
      <c r="HW85" s="145"/>
      <c r="HX85" s="145"/>
      <c r="HY85" s="145"/>
      <c r="HZ85" s="145"/>
      <c r="IA85" s="146"/>
      <c r="IB85" s="145"/>
      <c r="IC85" s="145"/>
      <c r="ID85" s="145"/>
      <c r="IE85" s="147"/>
      <c r="IF85" s="146"/>
      <c r="IG85" s="145"/>
      <c r="IH85" s="145"/>
      <c r="II85" s="148"/>
      <c r="IJ85" s="145"/>
      <c r="IK85" s="145"/>
      <c r="IL85" s="145"/>
      <c r="IM85" s="145"/>
      <c r="IN85" s="146"/>
      <c r="IO85" s="145"/>
      <c r="IP85" s="145"/>
      <c r="IQ85" s="145"/>
      <c r="IR85" s="148"/>
      <c r="IS85" s="145"/>
      <c r="IT85" s="145"/>
      <c r="IU85" s="145"/>
      <c r="IV85" s="145"/>
      <c r="IW85" s="146"/>
      <c r="IX85" s="145"/>
      <c r="IY85" s="145"/>
      <c r="IZ85" s="148"/>
      <c r="JA85" s="145"/>
      <c r="JB85" s="145"/>
      <c r="JC85" s="145"/>
      <c r="JD85" s="145"/>
      <c r="JE85" s="145"/>
      <c r="JF85" s="146"/>
      <c r="JG85" s="145"/>
      <c r="JH85" s="145"/>
      <c r="JI85" s="148"/>
      <c r="JJ85" s="145"/>
      <c r="JK85" s="145"/>
      <c r="JL85" s="145"/>
      <c r="JM85" s="145"/>
      <c r="JN85" s="146"/>
      <c r="JO85" s="145"/>
      <c r="JP85" s="145"/>
      <c r="JQ85" s="145"/>
      <c r="JR85" s="148"/>
      <c r="JS85" s="145"/>
      <c r="JT85" s="145"/>
      <c r="JU85" s="145"/>
      <c r="JV85" s="145"/>
      <c r="JW85" s="146"/>
      <c r="JX85" s="145"/>
      <c r="JY85" s="145"/>
      <c r="JZ85" s="148"/>
      <c r="KA85" s="145"/>
      <c r="KB85" s="145"/>
      <c r="KC85" s="145"/>
      <c r="KD85" s="149"/>
      <c r="KE85" s="146"/>
      <c r="KF85" s="145"/>
      <c r="KG85" s="145"/>
      <c r="KH85" s="148"/>
    </row>
    <row r="86" spans="2:294" ht="22.8" thickTop="1">
      <c r="B86" s="127"/>
      <c r="C86" s="234" t="s">
        <v>184</v>
      </c>
      <c r="D86" s="129" t="s">
        <v>186</v>
      </c>
      <c r="E86" s="130"/>
      <c r="F86" s="131"/>
      <c r="G86" s="131"/>
      <c r="H86" s="131"/>
      <c r="I86" s="132"/>
      <c r="J86" s="133"/>
      <c r="K86" s="131"/>
      <c r="L86" s="131"/>
      <c r="M86" s="132"/>
      <c r="N86" s="134"/>
      <c r="O86" s="131"/>
      <c r="P86" s="131"/>
      <c r="Q86" s="132"/>
      <c r="R86" s="134"/>
      <c r="S86" s="131"/>
      <c r="T86" s="131"/>
      <c r="U86" s="132"/>
      <c r="V86" s="130"/>
      <c r="W86" s="131"/>
      <c r="X86" s="131"/>
      <c r="Y86" s="131"/>
      <c r="Z86" s="132"/>
      <c r="AA86" s="134"/>
      <c r="AB86" s="131"/>
      <c r="AC86" s="131"/>
      <c r="AD86" s="132"/>
      <c r="AE86" s="134"/>
      <c r="AF86" s="131"/>
      <c r="AG86" s="131"/>
      <c r="AH86" s="132"/>
      <c r="AI86" s="134"/>
      <c r="AJ86" s="131"/>
      <c r="AK86" s="135"/>
      <c r="AL86" s="131"/>
      <c r="AM86" s="132"/>
      <c r="AN86" s="134"/>
      <c r="AO86" s="131"/>
      <c r="AP86" s="131"/>
      <c r="AQ86" s="132"/>
      <c r="AR86" s="134"/>
      <c r="AS86" s="131"/>
      <c r="AT86" s="131"/>
      <c r="AU86" s="131"/>
      <c r="AV86" s="132"/>
      <c r="AW86" s="134"/>
      <c r="AX86" s="131"/>
      <c r="AY86" s="131"/>
      <c r="AZ86" s="132"/>
      <c r="BA86" s="134"/>
      <c r="BB86" s="131"/>
      <c r="BC86" s="131"/>
      <c r="BD86" s="132"/>
      <c r="BE86" s="134"/>
      <c r="BF86" s="136"/>
      <c r="BG86" s="136"/>
      <c r="BH86" s="131"/>
      <c r="BI86" s="132"/>
      <c r="BJ86" s="133"/>
      <c r="BK86" s="135"/>
      <c r="BL86" s="131"/>
      <c r="BM86" s="136"/>
      <c r="BN86" s="134"/>
      <c r="BO86" s="131"/>
      <c r="BP86" s="131"/>
      <c r="BQ86" s="132"/>
      <c r="BR86" s="133"/>
      <c r="BS86" s="131"/>
      <c r="BT86" s="131"/>
      <c r="BU86" s="131"/>
      <c r="BV86" s="136"/>
      <c r="BW86" s="134"/>
      <c r="BX86" s="131"/>
      <c r="BY86" s="131"/>
      <c r="BZ86" s="132"/>
      <c r="CA86" s="133"/>
      <c r="CB86" s="131"/>
      <c r="CC86" s="131"/>
      <c r="CD86" s="132"/>
      <c r="CE86" s="137"/>
      <c r="CF86" s="133"/>
      <c r="CG86" s="138"/>
      <c r="CH86" s="138"/>
      <c r="CI86" s="139"/>
      <c r="CJ86" s="134"/>
      <c r="CK86" s="138"/>
      <c r="CL86" s="138"/>
      <c r="CM86" s="140"/>
      <c r="CN86" s="151"/>
      <c r="CO86" s="151"/>
      <c r="CP86" s="151"/>
      <c r="CQ86" s="151"/>
      <c r="CR86" s="150"/>
      <c r="CS86" s="151"/>
      <c r="CT86" s="151"/>
      <c r="CU86" s="151"/>
      <c r="CV86" s="152"/>
      <c r="CW86" s="150"/>
      <c r="CX86" s="153"/>
      <c r="CY86" s="151"/>
      <c r="CZ86" s="154"/>
      <c r="DA86" s="155"/>
      <c r="DB86" s="236"/>
      <c r="DC86" s="151"/>
      <c r="DD86" s="151"/>
      <c r="DE86" s="150"/>
      <c r="DF86" s="151"/>
      <c r="DG86" s="151"/>
      <c r="DH86" s="151"/>
      <c r="DI86" s="151"/>
      <c r="DJ86" s="150"/>
      <c r="DK86" s="152"/>
      <c r="DL86" s="151"/>
      <c r="DM86" s="154"/>
      <c r="DN86" s="150"/>
      <c r="DO86" s="151"/>
      <c r="DP86" s="151"/>
      <c r="DQ86" s="151"/>
      <c r="DR86" s="151"/>
      <c r="DS86" s="150"/>
      <c r="DT86" s="236"/>
      <c r="DU86" s="151"/>
      <c r="DV86" s="151"/>
      <c r="DW86" s="151"/>
      <c r="DX86" s="151"/>
      <c r="DY86" s="151"/>
      <c r="DZ86" s="151"/>
      <c r="EA86" s="237"/>
      <c r="EB86" s="151"/>
      <c r="EC86" s="151"/>
      <c r="ED86" s="151"/>
      <c r="EE86" s="152"/>
      <c r="EF86" s="150"/>
      <c r="EG86" s="151"/>
      <c r="EH86" s="151"/>
      <c r="EI86" s="151"/>
      <c r="EJ86" s="150"/>
      <c r="EK86" s="151"/>
      <c r="EL86" s="151"/>
      <c r="EM86" s="151"/>
      <c r="EN86" s="150"/>
      <c r="EO86" s="151"/>
      <c r="EP86" s="151"/>
      <c r="EQ86" s="151"/>
      <c r="ER86" s="154"/>
      <c r="ES86" s="151"/>
      <c r="ET86" s="151"/>
      <c r="EU86" s="151"/>
      <c r="EV86" s="152"/>
      <c r="EW86" s="150"/>
      <c r="EX86" s="151"/>
      <c r="EY86" s="151"/>
      <c r="EZ86" s="154"/>
      <c r="FA86" s="151"/>
      <c r="FB86" s="151"/>
      <c r="FC86" s="151"/>
      <c r="FD86" s="151"/>
      <c r="FE86" s="151"/>
      <c r="FF86" s="237"/>
      <c r="FG86" s="151"/>
      <c r="FH86" s="151"/>
      <c r="FI86" s="154"/>
      <c r="FJ86" s="151"/>
      <c r="FK86" s="152"/>
      <c r="FL86" s="151"/>
      <c r="FM86" s="151"/>
      <c r="FN86" s="237"/>
      <c r="FO86" s="151"/>
      <c r="FP86" s="151"/>
      <c r="FQ86" s="151"/>
      <c r="FR86" s="154"/>
      <c r="FS86" s="151"/>
      <c r="FT86" s="151"/>
      <c r="FU86" s="151"/>
      <c r="FV86" s="151"/>
      <c r="FW86" s="150"/>
      <c r="FX86" s="151"/>
      <c r="FY86" s="151"/>
      <c r="FZ86" s="154"/>
      <c r="GA86" s="150"/>
      <c r="GB86" s="151"/>
      <c r="GC86" s="151"/>
      <c r="GD86" s="151"/>
      <c r="GE86" s="156"/>
      <c r="GJ86" s="124"/>
      <c r="GM86" s="126"/>
      <c r="GS86" s="124"/>
      <c r="GV86" s="126"/>
      <c r="HA86" s="124"/>
      <c r="HE86" s="126"/>
      <c r="HJ86" s="124"/>
      <c r="HM86" s="126"/>
      <c r="HS86" s="124"/>
      <c r="HV86" s="126"/>
      <c r="IA86" s="124"/>
      <c r="IE86" s="125"/>
      <c r="IF86" s="124"/>
      <c r="II86" s="126"/>
      <c r="IN86" s="124"/>
      <c r="IR86" s="126"/>
      <c r="IW86" s="124"/>
      <c r="IZ86" s="126"/>
      <c r="JF86" s="124"/>
      <c r="JI86" s="126"/>
      <c r="JN86" s="124"/>
      <c r="JR86" s="126"/>
      <c r="JW86" s="124"/>
      <c r="JZ86" s="126"/>
      <c r="KD86" s="141"/>
      <c r="KE86" s="124"/>
      <c r="KH86" s="126"/>
    </row>
    <row r="87" spans="2:294" ht="18.600000000000001">
      <c r="B87" s="127"/>
      <c r="C87" s="234" t="s">
        <v>194</v>
      </c>
      <c r="D87" s="129"/>
      <c r="E87" s="130"/>
      <c r="F87" s="131"/>
      <c r="G87" s="131"/>
      <c r="H87" s="131"/>
      <c r="I87" s="132"/>
      <c r="J87" s="133"/>
      <c r="K87" s="131"/>
      <c r="L87" s="131"/>
      <c r="M87" s="132"/>
      <c r="N87" s="134"/>
      <c r="O87" s="131"/>
      <c r="P87" s="131"/>
      <c r="Q87" s="132"/>
      <c r="R87" s="134"/>
      <c r="S87" s="131"/>
      <c r="T87" s="131"/>
      <c r="U87" s="132"/>
      <c r="V87" s="130"/>
      <c r="W87" s="131"/>
      <c r="X87" s="131"/>
      <c r="Y87" s="131"/>
      <c r="Z87" s="132"/>
      <c r="AA87" s="134"/>
      <c r="AB87" s="131"/>
      <c r="AC87" s="131"/>
      <c r="AD87" s="132"/>
      <c r="AE87" s="134"/>
      <c r="AF87" s="131"/>
      <c r="AG87" s="131"/>
      <c r="AH87" s="132"/>
      <c r="AI87" s="134"/>
      <c r="AJ87" s="131"/>
      <c r="AK87" s="135"/>
      <c r="AL87" s="131"/>
      <c r="AM87" s="132"/>
      <c r="AN87" s="134"/>
      <c r="AO87" s="131"/>
      <c r="AP87" s="131"/>
      <c r="AQ87" s="132"/>
      <c r="AR87" s="134"/>
      <c r="AS87" s="131"/>
      <c r="AT87" s="131"/>
      <c r="AU87" s="131"/>
      <c r="AV87" s="132"/>
      <c r="AW87" s="134"/>
      <c r="AX87" s="131"/>
      <c r="AY87" s="131"/>
      <c r="AZ87" s="132"/>
      <c r="BA87" s="134"/>
      <c r="BB87" s="131"/>
      <c r="BC87" s="131"/>
      <c r="BD87" s="132"/>
      <c r="BE87" s="134"/>
      <c r="BF87" s="136"/>
      <c r="BG87" s="136"/>
      <c r="BH87" s="131"/>
      <c r="BI87" s="132"/>
      <c r="BJ87" s="133"/>
      <c r="BK87" s="135"/>
      <c r="BL87" s="131"/>
      <c r="BM87" s="136"/>
      <c r="BN87" s="134"/>
      <c r="BO87" s="131"/>
      <c r="BP87" s="131"/>
      <c r="BQ87" s="132"/>
      <c r="BR87" s="133"/>
      <c r="BS87" s="131"/>
      <c r="BT87" s="131"/>
      <c r="BU87" s="131"/>
      <c r="BV87" s="136"/>
      <c r="BW87" s="134"/>
      <c r="BX87" s="131"/>
      <c r="BY87" s="131"/>
      <c r="BZ87" s="132"/>
      <c r="CA87" s="133"/>
      <c r="CB87" s="131"/>
      <c r="CC87" s="131"/>
      <c r="CD87" s="132"/>
      <c r="CE87" s="137"/>
      <c r="CF87" s="133"/>
      <c r="CG87" s="138"/>
      <c r="CH87" s="138"/>
      <c r="CI87" s="139"/>
      <c r="CJ87" s="134"/>
      <c r="CK87" s="138"/>
      <c r="CL87" s="138"/>
      <c r="CM87" s="140"/>
      <c r="CR87" s="124"/>
      <c r="CV87" s="125"/>
      <c r="CW87" s="124"/>
      <c r="CZ87" s="126"/>
      <c r="DA87" s="124"/>
      <c r="DE87" s="124"/>
      <c r="DJ87" s="124"/>
      <c r="DK87" s="125"/>
      <c r="DM87" s="126"/>
      <c r="DN87" s="124"/>
      <c r="DS87" s="124"/>
      <c r="EA87" s="124"/>
      <c r="EE87" s="125"/>
      <c r="EF87" s="124"/>
      <c r="EJ87" s="124"/>
      <c r="EN87" s="124"/>
      <c r="ER87" s="126"/>
      <c r="EV87" s="125"/>
      <c r="EW87" s="124"/>
      <c r="EZ87" s="126"/>
      <c r="FF87" s="124"/>
      <c r="FI87" s="126"/>
      <c r="FK87" s="125"/>
      <c r="FN87" s="124"/>
      <c r="FR87" s="126"/>
      <c r="FW87" s="124"/>
      <c r="FZ87" s="126"/>
      <c r="GA87" s="124"/>
      <c r="GE87" s="141"/>
      <c r="GJ87" s="124"/>
      <c r="GM87" s="126"/>
      <c r="GS87" s="124"/>
      <c r="GV87" s="126"/>
      <c r="HA87" s="124"/>
      <c r="HE87" s="126"/>
      <c r="HJ87" s="124"/>
      <c r="HM87" s="126"/>
      <c r="HS87" s="124"/>
      <c r="HV87" s="126"/>
      <c r="IA87" s="124"/>
      <c r="IE87" s="125"/>
      <c r="IF87" s="124"/>
      <c r="II87" s="126"/>
      <c r="IN87" s="124"/>
      <c r="IR87" s="126"/>
      <c r="IW87" s="124"/>
      <c r="IZ87" s="126"/>
      <c r="JF87" s="124"/>
      <c r="JI87" s="126"/>
      <c r="JN87" s="124"/>
      <c r="JR87" s="126"/>
      <c r="JW87" s="124"/>
      <c r="JZ87" s="126"/>
      <c r="KD87" s="141"/>
      <c r="KE87" s="124"/>
      <c r="KH87" s="126"/>
    </row>
    <row r="88" spans="2:294" ht="18.600000000000001">
      <c r="B88" s="127"/>
      <c r="C88" s="241"/>
      <c r="D88" s="129"/>
      <c r="E88" s="130"/>
      <c r="F88" s="131"/>
      <c r="G88" s="131"/>
      <c r="H88" s="131"/>
      <c r="I88" s="132"/>
      <c r="J88" s="133"/>
      <c r="K88" s="131"/>
      <c r="L88" s="131"/>
      <c r="M88" s="132"/>
      <c r="N88" s="134"/>
      <c r="O88" s="131"/>
      <c r="P88" s="131"/>
      <c r="Q88" s="132"/>
      <c r="R88" s="134"/>
      <c r="S88" s="131"/>
      <c r="T88" s="131"/>
      <c r="U88" s="132"/>
      <c r="V88" s="130"/>
      <c r="W88" s="131"/>
      <c r="X88" s="131"/>
      <c r="Y88" s="131"/>
      <c r="Z88" s="132"/>
      <c r="AA88" s="134"/>
      <c r="AB88" s="131"/>
      <c r="AC88" s="131"/>
      <c r="AD88" s="132"/>
      <c r="AE88" s="134"/>
      <c r="AF88" s="131"/>
      <c r="AG88" s="131"/>
      <c r="AH88" s="132"/>
      <c r="AI88" s="134"/>
      <c r="AJ88" s="131"/>
      <c r="AK88" s="135"/>
      <c r="AL88" s="131"/>
      <c r="AM88" s="132"/>
      <c r="AN88" s="134"/>
      <c r="AO88" s="131"/>
      <c r="AP88" s="131"/>
      <c r="AQ88" s="132"/>
      <c r="AR88" s="134"/>
      <c r="AS88" s="131"/>
      <c r="AT88" s="131"/>
      <c r="AU88" s="131"/>
      <c r="AV88" s="132"/>
      <c r="AW88" s="134"/>
      <c r="AX88" s="131"/>
      <c r="AY88" s="131"/>
      <c r="AZ88" s="132"/>
      <c r="BA88" s="134"/>
      <c r="BB88" s="131"/>
      <c r="BC88" s="131"/>
      <c r="BD88" s="132"/>
      <c r="BE88" s="134"/>
      <c r="BF88" s="136"/>
      <c r="BG88" s="136"/>
      <c r="BH88" s="131"/>
      <c r="BI88" s="132"/>
      <c r="BJ88" s="133"/>
      <c r="BK88" s="135"/>
      <c r="BL88" s="131"/>
      <c r="BM88" s="136"/>
      <c r="BN88" s="134"/>
      <c r="BO88" s="131"/>
      <c r="BP88" s="131"/>
      <c r="BQ88" s="132"/>
      <c r="BR88" s="133"/>
      <c r="BS88" s="131"/>
      <c r="BT88" s="131"/>
      <c r="BU88" s="131"/>
      <c r="BV88" s="136"/>
      <c r="BW88" s="134"/>
      <c r="BX88" s="131"/>
      <c r="BY88" s="131"/>
      <c r="BZ88" s="132"/>
      <c r="CA88" s="133"/>
      <c r="CB88" s="131"/>
      <c r="CC88" s="131"/>
      <c r="CD88" s="132"/>
      <c r="CE88" s="137"/>
      <c r="CF88" s="133"/>
      <c r="CG88" s="138"/>
      <c r="CH88" s="138"/>
      <c r="CI88" s="139"/>
      <c r="CJ88" s="134"/>
      <c r="CK88" s="138"/>
      <c r="CL88" s="138"/>
      <c r="CM88" s="140"/>
      <c r="CR88" s="124"/>
      <c r="CV88" s="125"/>
      <c r="CW88" s="124"/>
      <c r="CZ88" s="126"/>
      <c r="DA88" s="124"/>
      <c r="DE88" s="124"/>
      <c r="DJ88" s="124"/>
      <c r="DK88" s="125"/>
      <c r="DM88" s="126"/>
      <c r="DN88" s="124"/>
      <c r="DS88" s="124"/>
      <c r="EA88" s="124"/>
      <c r="EE88" s="125"/>
      <c r="EF88" s="124"/>
      <c r="EJ88" s="124"/>
      <c r="EN88" s="124"/>
      <c r="ER88" s="126"/>
      <c r="EV88" s="125"/>
      <c r="EW88" s="124"/>
      <c r="EZ88" s="126"/>
      <c r="FF88" s="124"/>
      <c r="FI88" s="126"/>
      <c r="FK88" s="125"/>
      <c r="FN88" s="124"/>
      <c r="FR88" s="126"/>
      <c r="FW88" s="124"/>
      <c r="FZ88" s="126"/>
      <c r="GA88" s="124"/>
      <c r="GE88" s="141"/>
      <c r="GJ88" s="124"/>
      <c r="GM88" s="126"/>
      <c r="GS88" s="124"/>
      <c r="GV88" s="126"/>
      <c r="HA88" s="124"/>
      <c r="HE88" s="126"/>
      <c r="HJ88" s="124"/>
      <c r="HM88" s="126"/>
      <c r="HS88" s="124"/>
      <c r="HV88" s="126"/>
      <c r="IA88" s="124"/>
      <c r="IE88" s="125"/>
      <c r="IF88" s="124"/>
      <c r="II88" s="126"/>
      <c r="IN88" s="124"/>
      <c r="IR88" s="126"/>
      <c r="IW88" s="124"/>
      <c r="IZ88" s="126"/>
      <c r="JF88" s="124"/>
      <c r="JI88" s="126"/>
      <c r="JN88" s="124"/>
      <c r="JR88" s="126"/>
      <c r="JW88" s="124"/>
      <c r="JZ88" s="126"/>
      <c r="KD88" s="141"/>
      <c r="KE88" s="124"/>
      <c r="KH88" s="126"/>
    </row>
    <row r="89" spans="2:294" ht="74.400000000000006">
      <c r="B89" s="127"/>
      <c r="C89" s="239" t="s">
        <v>195</v>
      </c>
      <c r="D89" s="129"/>
      <c r="E89" s="130"/>
      <c r="F89" s="131"/>
      <c r="G89" s="131"/>
      <c r="H89" s="131"/>
      <c r="I89" s="132"/>
      <c r="J89" s="133"/>
      <c r="K89" s="131"/>
      <c r="L89" s="131"/>
      <c r="M89" s="132"/>
      <c r="N89" s="134"/>
      <c r="O89" s="131"/>
      <c r="P89" s="131"/>
      <c r="Q89" s="132"/>
      <c r="R89" s="134"/>
      <c r="S89" s="131"/>
      <c r="T89" s="131"/>
      <c r="U89" s="132"/>
      <c r="V89" s="130"/>
      <c r="W89" s="131"/>
      <c r="X89" s="131"/>
      <c r="Y89" s="131"/>
      <c r="Z89" s="132"/>
      <c r="AA89" s="134"/>
      <c r="AB89" s="131"/>
      <c r="AC89" s="131"/>
      <c r="AD89" s="132"/>
      <c r="AE89" s="134"/>
      <c r="AF89" s="131"/>
      <c r="AG89" s="131"/>
      <c r="AH89" s="132"/>
      <c r="AI89" s="134"/>
      <c r="AJ89" s="131"/>
      <c r="AK89" s="135"/>
      <c r="AL89" s="131"/>
      <c r="AM89" s="132"/>
      <c r="AN89" s="134"/>
      <c r="AO89" s="131"/>
      <c r="AP89" s="131"/>
      <c r="AQ89" s="132"/>
      <c r="AR89" s="134"/>
      <c r="AS89" s="131"/>
      <c r="AT89" s="131"/>
      <c r="AU89" s="131"/>
      <c r="AV89" s="132"/>
      <c r="AW89" s="134"/>
      <c r="AX89" s="131"/>
      <c r="AY89" s="131"/>
      <c r="AZ89" s="132"/>
      <c r="BA89" s="134"/>
      <c r="BB89" s="131"/>
      <c r="BC89" s="131"/>
      <c r="BD89" s="132"/>
      <c r="BE89" s="134"/>
      <c r="BF89" s="136"/>
      <c r="BG89" s="136"/>
      <c r="BH89" s="131"/>
      <c r="BI89" s="132"/>
      <c r="BJ89" s="133"/>
      <c r="BK89" s="135"/>
      <c r="BL89" s="131"/>
      <c r="BM89" s="136"/>
      <c r="BN89" s="134"/>
      <c r="BO89" s="131"/>
      <c r="BP89" s="131"/>
      <c r="BQ89" s="132"/>
      <c r="BR89" s="133"/>
      <c r="BS89" s="131"/>
      <c r="BT89" s="131"/>
      <c r="BU89" s="131"/>
      <c r="BV89" s="136"/>
      <c r="BW89" s="134"/>
      <c r="BX89" s="131"/>
      <c r="BY89" s="131"/>
      <c r="BZ89" s="132"/>
      <c r="CA89" s="133"/>
      <c r="CB89" s="131"/>
      <c r="CC89" s="131"/>
      <c r="CD89" s="132"/>
      <c r="CE89" s="137"/>
      <c r="CF89" s="133"/>
      <c r="CG89" s="138"/>
      <c r="CH89" s="138"/>
      <c r="CI89" s="139"/>
      <c r="CJ89" s="134"/>
      <c r="CK89" s="138"/>
      <c r="CL89" s="138"/>
      <c r="CM89" s="140"/>
      <c r="CR89" s="124"/>
      <c r="CV89" s="125"/>
      <c r="CW89" s="124"/>
      <c r="CZ89" s="126"/>
      <c r="DA89" s="124"/>
      <c r="DE89" s="124"/>
      <c r="DJ89" s="124"/>
      <c r="DK89" s="125"/>
      <c r="DM89" s="126"/>
      <c r="DN89" s="124"/>
      <c r="DS89" s="124"/>
      <c r="EA89" s="124"/>
      <c r="EE89" s="125"/>
      <c r="EF89" s="124"/>
      <c r="EJ89" s="124"/>
      <c r="EN89" s="124"/>
      <c r="ER89" s="126"/>
      <c r="EV89" s="125"/>
      <c r="EW89" s="124"/>
      <c r="EZ89" s="126"/>
      <c r="FF89" s="124"/>
      <c r="FI89" s="126"/>
      <c r="FK89" s="125"/>
      <c r="FN89" s="124"/>
      <c r="FR89" s="126"/>
      <c r="FW89" s="124"/>
      <c r="FZ89" s="126"/>
      <c r="GA89" s="124"/>
      <c r="GE89" s="141"/>
      <c r="GJ89" s="124"/>
      <c r="GM89" s="126"/>
      <c r="GS89" s="124"/>
      <c r="GV89" s="126"/>
      <c r="HA89" s="124"/>
      <c r="HE89" s="126"/>
      <c r="HJ89" s="124"/>
      <c r="HM89" s="126"/>
      <c r="HS89" s="124"/>
      <c r="HV89" s="126"/>
      <c r="IA89" s="124"/>
      <c r="IE89" s="125"/>
      <c r="IF89" s="124"/>
      <c r="II89" s="126"/>
      <c r="IN89" s="124"/>
      <c r="IR89" s="126"/>
      <c r="IW89" s="124"/>
      <c r="IZ89" s="126"/>
      <c r="JF89" s="124"/>
      <c r="JI89" s="126"/>
      <c r="JN89" s="124"/>
      <c r="JR89" s="126"/>
      <c r="JW89" s="124"/>
      <c r="JZ89" s="126"/>
      <c r="KD89" s="141"/>
      <c r="KE89" s="124"/>
      <c r="KH89" s="126"/>
    </row>
    <row r="90" spans="2:294" ht="19.2" thickBot="1">
      <c r="B90" s="127"/>
      <c r="C90" s="240"/>
      <c r="D90" s="158"/>
      <c r="E90" s="159"/>
      <c r="F90" s="160"/>
      <c r="G90" s="160"/>
      <c r="H90" s="160"/>
      <c r="I90" s="161"/>
      <c r="J90" s="162"/>
      <c r="K90" s="160"/>
      <c r="L90" s="160"/>
      <c r="M90" s="161"/>
      <c r="N90" s="163"/>
      <c r="O90" s="160"/>
      <c r="P90" s="160"/>
      <c r="Q90" s="161"/>
      <c r="R90" s="163"/>
      <c r="S90" s="160"/>
      <c r="T90" s="160"/>
      <c r="U90" s="161"/>
      <c r="V90" s="159"/>
      <c r="W90" s="160"/>
      <c r="X90" s="160"/>
      <c r="Y90" s="160"/>
      <c r="Z90" s="161"/>
      <c r="AA90" s="163"/>
      <c r="AB90" s="160"/>
      <c r="AC90" s="160"/>
      <c r="AD90" s="161"/>
      <c r="AE90" s="163"/>
      <c r="AF90" s="160"/>
      <c r="AG90" s="160"/>
      <c r="AH90" s="161"/>
      <c r="AI90" s="163"/>
      <c r="AJ90" s="160"/>
      <c r="AK90" s="164"/>
      <c r="AL90" s="160"/>
      <c r="AM90" s="161"/>
      <c r="AN90" s="163"/>
      <c r="AO90" s="160"/>
      <c r="AP90" s="160"/>
      <c r="AQ90" s="161"/>
      <c r="AR90" s="163"/>
      <c r="AS90" s="160"/>
      <c r="AT90" s="160"/>
      <c r="AU90" s="160"/>
      <c r="AV90" s="161"/>
      <c r="AW90" s="163"/>
      <c r="AX90" s="160"/>
      <c r="AY90" s="160"/>
      <c r="AZ90" s="161"/>
      <c r="BA90" s="163"/>
      <c r="BB90" s="160"/>
      <c r="BC90" s="160"/>
      <c r="BD90" s="161"/>
      <c r="BE90" s="163"/>
      <c r="BF90" s="165"/>
      <c r="BG90" s="165"/>
      <c r="BH90" s="160"/>
      <c r="BI90" s="161"/>
      <c r="BJ90" s="162"/>
      <c r="BK90" s="164"/>
      <c r="BL90" s="160"/>
      <c r="BM90" s="165"/>
      <c r="BN90" s="163"/>
      <c r="BO90" s="160"/>
      <c r="BP90" s="160"/>
      <c r="BQ90" s="161"/>
      <c r="BR90" s="162"/>
      <c r="BS90" s="160"/>
      <c r="BT90" s="160"/>
      <c r="BU90" s="160"/>
      <c r="BV90" s="165"/>
      <c r="BW90" s="163"/>
      <c r="BX90" s="160"/>
      <c r="BY90" s="160"/>
      <c r="BZ90" s="161"/>
      <c r="CA90" s="162"/>
      <c r="CB90" s="160"/>
      <c r="CC90" s="160"/>
      <c r="CD90" s="161"/>
      <c r="CE90" s="166"/>
      <c r="CF90" s="162"/>
      <c r="CG90" s="167"/>
      <c r="CH90" s="167"/>
      <c r="CI90" s="168"/>
      <c r="CJ90" s="163"/>
      <c r="CK90" s="167"/>
      <c r="CL90" s="167"/>
      <c r="CM90" s="169"/>
      <c r="CN90" s="145"/>
      <c r="CO90" s="145"/>
      <c r="CP90" s="145"/>
      <c r="CQ90" s="145"/>
      <c r="CR90" s="146"/>
      <c r="CS90" s="145"/>
      <c r="CT90" s="145"/>
      <c r="CU90" s="145"/>
      <c r="CV90" s="147"/>
      <c r="CW90" s="146"/>
      <c r="CX90" s="145"/>
      <c r="CY90" s="145"/>
      <c r="CZ90" s="148"/>
      <c r="DA90" s="146"/>
      <c r="DB90" s="145"/>
      <c r="DC90" s="145"/>
      <c r="DD90" s="145"/>
      <c r="DE90" s="146"/>
      <c r="DF90" s="145"/>
      <c r="DG90" s="145"/>
      <c r="DH90" s="145"/>
      <c r="DI90" s="145"/>
      <c r="DJ90" s="146"/>
      <c r="DK90" s="147"/>
      <c r="DL90" s="145"/>
      <c r="DM90" s="148"/>
      <c r="DN90" s="146"/>
      <c r="DO90" s="145"/>
      <c r="DP90" s="145"/>
      <c r="DQ90" s="145"/>
      <c r="DR90" s="145"/>
      <c r="DS90" s="146"/>
      <c r="DT90" s="145"/>
      <c r="DU90" s="145"/>
      <c r="DV90" s="145"/>
      <c r="DW90" s="145"/>
      <c r="DX90" s="145"/>
      <c r="DY90" s="145"/>
      <c r="DZ90" s="145"/>
      <c r="EA90" s="146"/>
      <c r="EB90" s="145"/>
      <c r="EC90" s="145"/>
      <c r="ED90" s="145"/>
      <c r="EE90" s="147"/>
      <c r="EF90" s="146"/>
      <c r="EG90" s="145"/>
      <c r="EH90" s="145"/>
      <c r="EI90" s="145"/>
      <c r="EJ90" s="146"/>
      <c r="EK90" s="145"/>
      <c r="EL90" s="145"/>
      <c r="EM90" s="145"/>
      <c r="EN90" s="146"/>
      <c r="EO90" s="145"/>
      <c r="EP90" s="145"/>
      <c r="EQ90" s="145"/>
      <c r="ER90" s="148"/>
      <c r="ES90" s="145"/>
      <c r="ET90" s="145"/>
      <c r="EU90" s="145"/>
      <c r="EV90" s="147"/>
      <c r="EW90" s="146"/>
      <c r="EX90" s="145"/>
      <c r="EY90" s="145"/>
      <c r="EZ90" s="148"/>
      <c r="FA90" s="145"/>
      <c r="FB90" s="145"/>
      <c r="FC90" s="145"/>
      <c r="FD90" s="145"/>
      <c r="FE90" s="145"/>
      <c r="FF90" s="146"/>
      <c r="FG90" s="145"/>
      <c r="FH90" s="145"/>
      <c r="FI90" s="148"/>
      <c r="FJ90" s="145"/>
      <c r="FK90" s="147"/>
      <c r="FL90" s="145"/>
      <c r="FM90" s="145"/>
      <c r="FN90" s="146"/>
      <c r="FO90" s="145"/>
      <c r="FP90" s="145"/>
      <c r="FQ90" s="145"/>
      <c r="FR90" s="148"/>
      <c r="FS90" s="145"/>
      <c r="FT90" s="145"/>
      <c r="FU90" s="145"/>
      <c r="FV90" s="145"/>
      <c r="FW90" s="146"/>
      <c r="FX90" s="145"/>
      <c r="FY90" s="145"/>
      <c r="FZ90" s="148"/>
      <c r="GA90" s="146"/>
      <c r="GB90" s="145"/>
      <c r="GC90" s="145"/>
      <c r="GD90" s="145"/>
      <c r="GE90" s="149"/>
      <c r="GF90" s="145"/>
      <c r="GG90" s="145"/>
      <c r="GH90" s="145"/>
      <c r="GI90" s="145"/>
      <c r="GJ90" s="146"/>
      <c r="GK90" s="145"/>
      <c r="GL90" s="145"/>
      <c r="GM90" s="148"/>
      <c r="GN90" s="145"/>
      <c r="GO90" s="145"/>
      <c r="GP90" s="145"/>
      <c r="GQ90" s="145"/>
      <c r="GR90" s="145"/>
      <c r="GS90" s="146"/>
      <c r="GT90" s="145"/>
      <c r="GU90" s="145"/>
      <c r="GV90" s="148"/>
      <c r="GW90" s="145"/>
      <c r="GX90" s="145"/>
      <c r="GY90" s="145"/>
      <c r="GZ90" s="145"/>
      <c r="HA90" s="146"/>
      <c r="HB90" s="145"/>
      <c r="HC90" s="145"/>
      <c r="HD90" s="145"/>
      <c r="HE90" s="148"/>
      <c r="HF90" s="145"/>
      <c r="HG90" s="145"/>
      <c r="HH90" s="145"/>
      <c r="HI90" s="145"/>
      <c r="HJ90" s="146"/>
      <c r="HK90" s="145"/>
      <c r="HL90" s="145"/>
      <c r="HM90" s="148"/>
      <c r="HN90" s="145"/>
      <c r="HO90" s="145"/>
      <c r="HP90" s="145"/>
      <c r="HQ90" s="145"/>
      <c r="HR90" s="145"/>
      <c r="HS90" s="146"/>
      <c r="HT90" s="145"/>
      <c r="HU90" s="145"/>
      <c r="HV90" s="148"/>
      <c r="HW90" s="145"/>
      <c r="HX90" s="145"/>
      <c r="HY90" s="145"/>
      <c r="HZ90" s="145"/>
      <c r="IA90" s="146"/>
      <c r="IB90" s="145"/>
      <c r="IC90" s="145"/>
      <c r="ID90" s="145"/>
      <c r="IE90" s="147"/>
      <c r="IF90" s="146"/>
      <c r="IG90" s="145"/>
      <c r="IH90" s="145"/>
      <c r="II90" s="148"/>
      <c r="IJ90" s="145"/>
      <c r="IK90" s="145"/>
      <c r="IL90" s="145"/>
      <c r="IM90" s="145"/>
      <c r="IN90" s="146"/>
      <c r="IO90" s="145"/>
      <c r="IP90" s="145"/>
      <c r="IQ90" s="145"/>
      <c r="IR90" s="148"/>
      <c r="IS90" s="145"/>
      <c r="IT90" s="145"/>
      <c r="IU90" s="145"/>
      <c r="IV90" s="145"/>
      <c r="IW90" s="146"/>
      <c r="IX90" s="145"/>
      <c r="IY90" s="145"/>
      <c r="IZ90" s="148"/>
      <c r="JA90" s="145"/>
      <c r="JB90" s="145"/>
      <c r="JC90" s="145"/>
      <c r="JD90" s="145"/>
      <c r="JE90" s="145"/>
      <c r="JF90" s="146"/>
      <c r="JG90" s="145"/>
      <c r="JH90" s="145"/>
      <c r="JI90" s="148"/>
      <c r="JJ90" s="145"/>
      <c r="JK90" s="145"/>
      <c r="JL90" s="145"/>
      <c r="JM90" s="145"/>
      <c r="JN90" s="146"/>
      <c r="JO90" s="145"/>
      <c r="JP90" s="145"/>
      <c r="JQ90" s="145"/>
      <c r="JR90" s="148"/>
      <c r="JS90" s="145"/>
      <c r="JT90" s="145"/>
      <c r="JU90" s="145"/>
      <c r="JV90" s="145"/>
      <c r="JW90" s="146"/>
      <c r="JX90" s="145"/>
      <c r="JY90" s="145"/>
      <c r="JZ90" s="148"/>
      <c r="KA90" s="145"/>
      <c r="KB90" s="145"/>
      <c r="KC90" s="145"/>
      <c r="KD90" s="149"/>
      <c r="KE90" s="146"/>
      <c r="KF90" s="145"/>
      <c r="KG90" s="145"/>
      <c r="KH90" s="148"/>
    </row>
    <row r="91" spans="2:294" ht="22.8" thickTop="1">
      <c r="B91" s="127"/>
      <c r="C91" s="234" t="s">
        <v>184</v>
      </c>
      <c r="D91" s="129" t="s">
        <v>192</v>
      </c>
      <c r="E91" s="130"/>
      <c r="F91" s="131"/>
      <c r="G91" s="131"/>
      <c r="H91" s="131"/>
      <c r="I91" s="132"/>
      <c r="J91" s="133"/>
      <c r="K91" s="131"/>
      <c r="L91" s="131"/>
      <c r="M91" s="132"/>
      <c r="N91" s="134"/>
      <c r="O91" s="131"/>
      <c r="P91" s="131"/>
      <c r="Q91" s="132"/>
      <c r="R91" s="134"/>
      <c r="S91" s="131"/>
      <c r="T91" s="131"/>
      <c r="U91" s="132"/>
      <c r="V91" s="130"/>
      <c r="W91" s="131"/>
      <c r="X91" s="131"/>
      <c r="Y91" s="131"/>
      <c r="Z91" s="132"/>
      <c r="AA91" s="134"/>
      <c r="AB91" s="131"/>
      <c r="AC91" s="131"/>
      <c r="AD91" s="132"/>
      <c r="AE91" s="134"/>
      <c r="AF91" s="131"/>
      <c r="AG91" s="131"/>
      <c r="AH91" s="132"/>
      <c r="AI91" s="134"/>
      <c r="AJ91" s="131"/>
      <c r="AK91" s="135"/>
      <c r="AL91" s="131"/>
      <c r="AM91" s="132"/>
      <c r="AN91" s="134"/>
      <c r="AO91" s="131"/>
      <c r="AP91" s="131"/>
      <c r="AQ91" s="132"/>
      <c r="AR91" s="134"/>
      <c r="AS91" s="131"/>
      <c r="AT91" s="131"/>
      <c r="AU91" s="131"/>
      <c r="AV91" s="132"/>
      <c r="AW91" s="134"/>
      <c r="AX91" s="131"/>
      <c r="AY91" s="131"/>
      <c r="AZ91" s="132"/>
      <c r="BA91" s="134"/>
      <c r="BB91" s="131"/>
      <c r="BC91" s="131"/>
      <c r="BD91" s="132"/>
      <c r="BE91" s="134"/>
      <c r="BF91" s="136"/>
      <c r="BG91" s="136"/>
      <c r="BH91" s="131"/>
      <c r="BI91" s="132"/>
      <c r="BJ91" s="133"/>
      <c r="BK91" s="135"/>
      <c r="BL91" s="131"/>
      <c r="BM91" s="136"/>
      <c r="BN91" s="134"/>
      <c r="BO91" s="131"/>
      <c r="BP91" s="131"/>
      <c r="BQ91" s="132"/>
      <c r="BR91" s="133"/>
      <c r="BS91" s="131"/>
      <c r="BT91" s="131"/>
      <c r="BU91" s="131"/>
      <c r="BV91" s="136"/>
      <c r="BW91" s="134"/>
      <c r="BX91" s="131"/>
      <c r="BY91" s="131"/>
      <c r="BZ91" s="132"/>
      <c r="CA91" s="133"/>
      <c r="CB91" s="131"/>
      <c r="CC91" s="131"/>
      <c r="CD91" s="132"/>
      <c r="CE91" s="137"/>
      <c r="CF91" s="133"/>
      <c r="CG91" s="138"/>
      <c r="CH91" s="138"/>
      <c r="CI91" s="139"/>
      <c r="CJ91" s="134"/>
      <c r="CK91" s="138"/>
      <c r="CL91" s="138"/>
      <c r="CM91" s="140"/>
      <c r="CN91" s="151"/>
      <c r="CO91" s="151"/>
      <c r="CP91" s="151"/>
      <c r="CQ91" s="151"/>
      <c r="CR91" s="150"/>
      <c r="CS91" s="151"/>
      <c r="CT91" s="151"/>
      <c r="CU91" s="151"/>
      <c r="CV91" s="152"/>
      <c r="CW91" s="150"/>
      <c r="CX91" s="153"/>
      <c r="CY91" s="151"/>
      <c r="CZ91" s="154"/>
      <c r="DA91" s="155"/>
      <c r="DB91" s="236"/>
      <c r="DC91" s="151"/>
      <c r="DD91" s="151"/>
      <c r="DE91" s="150"/>
      <c r="DF91" s="151"/>
      <c r="DG91" s="151"/>
      <c r="DH91" s="151"/>
      <c r="DI91" s="151"/>
      <c r="DJ91" s="150"/>
      <c r="DK91" s="152"/>
      <c r="DL91" s="151"/>
      <c r="DM91" s="154"/>
      <c r="DN91" s="150"/>
      <c r="DO91" s="151"/>
      <c r="DP91" s="151"/>
      <c r="DQ91" s="151"/>
      <c r="DR91" s="151"/>
      <c r="DS91" s="150"/>
      <c r="DT91" s="236"/>
      <c r="DU91" s="151"/>
      <c r="DV91" s="151"/>
      <c r="DW91" s="151"/>
      <c r="DX91" s="151"/>
      <c r="DY91" s="151"/>
      <c r="DZ91" s="151"/>
      <c r="EA91" s="237"/>
      <c r="EB91" s="151"/>
      <c r="EC91" s="151"/>
      <c r="ED91" s="151"/>
      <c r="EE91" s="152"/>
      <c r="EF91" s="150"/>
      <c r="EG91" s="151"/>
      <c r="EH91" s="151"/>
      <c r="EI91" s="151"/>
      <c r="EJ91" s="150"/>
      <c r="EK91" s="151"/>
      <c r="EL91" s="151"/>
      <c r="EM91" s="151"/>
      <c r="EN91" s="150"/>
      <c r="EO91" s="151"/>
      <c r="EP91" s="151"/>
      <c r="EQ91" s="151"/>
      <c r="ER91" s="154"/>
      <c r="ES91" s="151"/>
      <c r="ET91" s="151"/>
      <c r="EU91" s="151"/>
      <c r="EV91" s="152"/>
      <c r="EW91" s="150"/>
      <c r="EX91" s="151"/>
      <c r="EY91" s="151"/>
      <c r="EZ91" s="154"/>
      <c r="FA91" s="151"/>
      <c r="FB91" s="151"/>
      <c r="FC91" s="151"/>
      <c r="FD91" s="151"/>
      <c r="FE91" s="151"/>
      <c r="FF91" s="237"/>
      <c r="FG91" s="151"/>
      <c r="FH91" s="151"/>
      <c r="FI91" s="154"/>
      <c r="FJ91" s="151"/>
      <c r="FK91" s="152"/>
      <c r="FL91" s="151"/>
      <c r="FM91" s="151"/>
      <c r="FN91" s="237"/>
      <c r="FO91" s="151"/>
      <c r="FP91" s="151"/>
      <c r="FQ91" s="151"/>
      <c r="FR91" s="154"/>
      <c r="FS91" s="151"/>
      <c r="FT91" s="151"/>
      <c r="FU91" s="151"/>
      <c r="FV91" s="151"/>
      <c r="FW91" s="150"/>
      <c r="FX91" s="151"/>
      <c r="FY91" s="151"/>
      <c r="FZ91" s="154"/>
      <c r="GA91" s="150"/>
      <c r="GB91" s="151"/>
      <c r="GC91" s="151"/>
      <c r="GD91" s="151"/>
      <c r="GE91" s="156"/>
      <c r="GJ91" s="124"/>
      <c r="GM91" s="126"/>
      <c r="GS91" s="124"/>
      <c r="GV91" s="126"/>
      <c r="HA91" s="124"/>
      <c r="HE91" s="126"/>
      <c r="HJ91" s="124"/>
      <c r="HM91" s="126"/>
      <c r="HS91" s="124"/>
      <c r="HV91" s="126"/>
      <c r="IA91" s="124"/>
      <c r="IE91" s="125"/>
      <c r="IF91" s="124"/>
      <c r="II91" s="126"/>
      <c r="IN91" s="124"/>
      <c r="IR91" s="126"/>
      <c r="IW91" s="124"/>
      <c r="IZ91" s="126"/>
      <c r="JF91" s="124"/>
      <c r="JI91" s="126"/>
      <c r="JN91" s="124"/>
      <c r="JR91" s="126"/>
      <c r="JW91" s="124"/>
      <c r="JZ91" s="126"/>
      <c r="KD91" s="141"/>
      <c r="KE91" s="124"/>
      <c r="KH91" s="126"/>
    </row>
    <row r="92" spans="2:294" ht="18.600000000000001">
      <c r="B92" s="127"/>
      <c r="C92" s="234" t="s">
        <v>194</v>
      </c>
      <c r="D92" s="129"/>
      <c r="E92" s="130"/>
      <c r="F92" s="131"/>
      <c r="G92" s="131"/>
      <c r="H92" s="131"/>
      <c r="I92" s="132"/>
      <c r="J92" s="133"/>
      <c r="K92" s="131"/>
      <c r="L92" s="131"/>
      <c r="M92" s="132"/>
      <c r="N92" s="134"/>
      <c r="O92" s="131"/>
      <c r="P92" s="131"/>
      <c r="Q92" s="132"/>
      <c r="R92" s="134"/>
      <c r="S92" s="131"/>
      <c r="T92" s="131"/>
      <c r="U92" s="132"/>
      <c r="V92" s="130"/>
      <c r="W92" s="131"/>
      <c r="X92" s="131"/>
      <c r="Y92" s="131"/>
      <c r="Z92" s="132"/>
      <c r="AA92" s="134"/>
      <c r="AB92" s="131"/>
      <c r="AC92" s="131"/>
      <c r="AD92" s="132"/>
      <c r="AE92" s="134"/>
      <c r="AF92" s="131"/>
      <c r="AG92" s="131"/>
      <c r="AH92" s="132"/>
      <c r="AI92" s="134"/>
      <c r="AJ92" s="131"/>
      <c r="AK92" s="135"/>
      <c r="AL92" s="131"/>
      <c r="AM92" s="132"/>
      <c r="AN92" s="134"/>
      <c r="AO92" s="131"/>
      <c r="AP92" s="131"/>
      <c r="AQ92" s="132"/>
      <c r="AR92" s="134"/>
      <c r="AS92" s="131"/>
      <c r="AT92" s="131"/>
      <c r="AU92" s="131"/>
      <c r="AV92" s="132"/>
      <c r="AW92" s="134"/>
      <c r="AX92" s="131"/>
      <c r="AY92" s="131"/>
      <c r="AZ92" s="132"/>
      <c r="BA92" s="134"/>
      <c r="BB92" s="131"/>
      <c r="BC92" s="131"/>
      <c r="BD92" s="132"/>
      <c r="BE92" s="134"/>
      <c r="BF92" s="136"/>
      <c r="BG92" s="136"/>
      <c r="BH92" s="131"/>
      <c r="BI92" s="132"/>
      <c r="BJ92" s="133"/>
      <c r="BK92" s="135"/>
      <c r="BL92" s="131"/>
      <c r="BM92" s="136"/>
      <c r="BN92" s="134"/>
      <c r="BO92" s="131"/>
      <c r="BP92" s="131"/>
      <c r="BQ92" s="132"/>
      <c r="BR92" s="133"/>
      <c r="BS92" s="131"/>
      <c r="BT92" s="131"/>
      <c r="BU92" s="131"/>
      <c r="BV92" s="136"/>
      <c r="BW92" s="134"/>
      <c r="BX92" s="131"/>
      <c r="BY92" s="131"/>
      <c r="BZ92" s="132"/>
      <c r="CA92" s="133"/>
      <c r="CB92" s="131"/>
      <c r="CC92" s="131"/>
      <c r="CD92" s="132"/>
      <c r="CE92" s="137"/>
      <c r="CF92" s="133"/>
      <c r="CG92" s="138"/>
      <c r="CH92" s="138"/>
      <c r="CI92" s="139"/>
      <c r="CJ92" s="134"/>
      <c r="CK92" s="138"/>
      <c r="CL92" s="138"/>
      <c r="CM92" s="140"/>
      <c r="CR92" s="124"/>
      <c r="CV92" s="125"/>
      <c r="CW92" s="124"/>
      <c r="CZ92" s="126"/>
      <c r="DA92" s="124"/>
      <c r="DE92" s="124"/>
      <c r="DJ92" s="124"/>
      <c r="DK92" s="125"/>
      <c r="DM92" s="126"/>
      <c r="DN92" s="124"/>
      <c r="DS92" s="124"/>
      <c r="EA92" s="124"/>
      <c r="EE92" s="125"/>
      <c r="EF92" s="124"/>
      <c r="EJ92" s="124"/>
      <c r="EN92" s="124"/>
      <c r="ER92" s="126"/>
      <c r="EV92" s="125"/>
      <c r="EW92" s="124"/>
      <c r="EZ92" s="126"/>
      <c r="FF92" s="124"/>
      <c r="FI92" s="126"/>
      <c r="FK92" s="125"/>
      <c r="FN92" s="124"/>
      <c r="FR92" s="126"/>
      <c r="FW92" s="124"/>
      <c r="FZ92" s="126"/>
      <c r="GA92" s="124"/>
      <c r="GE92" s="141"/>
      <c r="GJ92" s="124"/>
      <c r="GM92" s="126"/>
      <c r="GS92" s="124"/>
      <c r="GV92" s="126"/>
      <c r="HA92" s="124"/>
      <c r="HE92" s="126"/>
      <c r="HJ92" s="124"/>
      <c r="HM92" s="126"/>
      <c r="HS92" s="124"/>
      <c r="HV92" s="126"/>
      <c r="IA92" s="124"/>
      <c r="IE92" s="125"/>
      <c r="IF92" s="124"/>
      <c r="II92" s="126"/>
      <c r="IN92" s="124"/>
      <c r="IR92" s="126"/>
      <c r="IW92" s="124"/>
      <c r="IZ92" s="126"/>
      <c r="JF92" s="124"/>
      <c r="JI92" s="126"/>
      <c r="JN92" s="124"/>
      <c r="JR92" s="126"/>
      <c r="JW92" s="124"/>
      <c r="JZ92" s="126"/>
      <c r="KD92" s="141"/>
      <c r="KE92" s="124"/>
      <c r="KH92" s="126"/>
    </row>
    <row r="93" spans="2:294" ht="18.600000000000001">
      <c r="B93" s="127"/>
      <c r="C93" s="241"/>
      <c r="D93" s="129"/>
      <c r="E93" s="130"/>
      <c r="F93" s="131"/>
      <c r="G93" s="131"/>
      <c r="H93" s="131"/>
      <c r="I93" s="132"/>
      <c r="J93" s="133"/>
      <c r="K93" s="131"/>
      <c r="L93" s="131"/>
      <c r="M93" s="132"/>
      <c r="N93" s="134"/>
      <c r="O93" s="131"/>
      <c r="P93" s="131"/>
      <c r="Q93" s="132"/>
      <c r="R93" s="134"/>
      <c r="S93" s="131"/>
      <c r="T93" s="131"/>
      <c r="U93" s="132"/>
      <c r="V93" s="130"/>
      <c r="W93" s="131"/>
      <c r="X93" s="131"/>
      <c r="Y93" s="131"/>
      <c r="Z93" s="132"/>
      <c r="AA93" s="134"/>
      <c r="AB93" s="131"/>
      <c r="AC93" s="131"/>
      <c r="AD93" s="132"/>
      <c r="AE93" s="134"/>
      <c r="AF93" s="131"/>
      <c r="AG93" s="131"/>
      <c r="AH93" s="132"/>
      <c r="AI93" s="134"/>
      <c r="AJ93" s="131"/>
      <c r="AK93" s="135"/>
      <c r="AL93" s="131"/>
      <c r="AM93" s="132"/>
      <c r="AN93" s="134"/>
      <c r="AO93" s="131"/>
      <c r="AP93" s="131"/>
      <c r="AQ93" s="132"/>
      <c r="AR93" s="134"/>
      <c r="AS93" s="131"/>
      <c r="AT93" s="131"/>
      <c r="AU93" s="131"/>
      <c r="AV93" s="132"/>
      <c r="AW93" s="134"/>
      <c r="AX93" s="131"/>
      <c r="AY93" s="131"/>
      <c r="AZ93" s="132"/>
      <c r="BA93" s="134"/>
      <c r="BB93" s="131"/>
      <c r="BC93" s="131"/>
      <c r="BD93" s="132"/>
      <c r="BE93" s="134"/>
      <c r="BF93" s="136"/>
      <c r="BG93" s="136"/>
      <c r="BH93" s="131"/>
      <c r="BI93" s="132"/>
      <c r="BJ93" s="133"/>
      <c r="BK93" s="135"/>
      <c r="BL93" s="131"/>
      <c r="BM93" s="136"/>
      <c r="BN93" s="134"/>
      <c r="BO93" s="131"/>
      <c r="BP93" s="131"/>
      <c r="BQ93" s="132"/>
      <c r="BR93" s="133"/>
      <c r="BS93" s="131"/>
      <c r="BT93" s="131"/>
      <c r="BU93" s="131"/>
      <c r="BV93" s="136"/>
      <c r="BW93" s="134"/>
      <c r="BX93" s="131"/>
      <c r="BY93" s="131"/>
      <c r="BZ93" s="132"/>
      <c r="CA93" s="133"/>
      <c r="CB93" s="131"/>
      <c r="CC93" s="131"/>
      <c r="CD93" s="132"/>
      <c r="CE93" s="137"/>
      <c r="CF93" s="133"/>
      <c r="CG93" s="138"/>
      <c r="CH93" s="138"/>
      <c r="CI93" s="139"/>
      <c r="CJ93" s="134"/>
      <c r="CK93" s="138"/>
      <c r="CL93" s="138"/>
      <c r="CM93" s="140"/>
      <c r="CR93" s="124"/>
      <c r="CV93" s="125"/>
      <c r="CW93" s="124"/>
      <c r="CZ93" s="126"/>
      <c r="DA93" s="124"/>
      <c r="DE93" s="124"/>
      <c r="DJ93" s="124"/>
      <c r="DK93" s="125"/>
      <c r="DM93" s="126"/>
      <c r="DN93" s="124"/>
      <c r="DS93" s="124"/>
      <c r="EA93" s="124"/>
      <c r="EE93" s="125"/>
      <c r="EF93" s="124"/>
      <c r="EJ93" s="124"/>
      <c r="EN93" s="124"/>
      <c r="ER93" s="126"/>
      <c r="EV93" s="125"/>
      <c r="EW93" s="124"/>
      <c r="EZ93" s="126"/>
      <c r="FF93" s="124"/>
      <c r="FI93" s="126"/>
      <c r="FK93" s="125"/>
      <c r="FN93" s="124"/>
      <c r="FR93" s="126"/>
      <c r="FW93" s="124"/>
      <c r="FZ93" s="126"/>
      <c r="GA93" s="124"/>
      <c r="GE93" s="141"/>
      <c r="GJ93" s="124"/>
      <c r="GM93" s="126"/>
      <c r="GS93" s="124"/>
      <c r="GV93" s="126"/>
      <c r="HA93" s="124"/>
      <c r="HE93" s="126"/>
      <c r="HJ93" s="124"/>
      <c r="HM93" s="126"/>
      <c r="HS93" s="124"/>
      <c r="HV93" s="126"/>
      <c r="IA93" s="124"/>
      <c r="IE93" s="125"/>
      <c r="IF93" s="124"/>
      <c r="II93" s="126"/>
      <c r="IN93" s="124"/>
      <c r="IR93" s="126"/>
      <c r="IW93" s="124"/>
      <c r="IZ93" s="126"/>
      <c r="JF93" s="124"/>
      <c r="JI93" s="126"/>
      <c r="JN93" s="124"/>
      <c r="JR93" s="126"/>
      <c r="JW93" s="124"/>
      <c r="JZ93" s="126"/>
      <c r="KD93" s="141"/>
      <c r="KE93" s="124"/>
      <c r="KH93" s="126"/>
    </row>
    <row r="94" spans="2:294" ht="37.200000000000003">
      <c r="B94" s="127"/>
      <c r="C94" s="239" t="s">
        <v>196</v>
      </c>
      <c r="D94" s="129"/>
      <c r="E94" s="130"/>
      <c r="F94" s="131"/>
      <c r="G94" s="131"/>
      <c r="H94" s="131"/>
      <c r="I94" s="132"/>
      <c r="J94" s="133"/>
      <c r="K94" s="131"/>
      <c r="L94" s="131"/>
      <c r="M94" s="132"/>
      <c r="N94" s="134"/>
      <c r="O94" s="131"/>
      <c r="P94" s="131"/>
      <c r="Q94" s="132"/>
      <c r="R94" s="134"/>
      <c r="S94" s="131"/>
      <c r="T94" s="131"/>
      <c r="U94" s="132"/>
      <c r="V94" s="130"/>
      <c r="W94" s="131"/>
      <c r="X94" s="131"/>
      <c r="Y94" s="131"/>
      <c r="Z94" s="132"/>
      <c r="AA94" s="134"/>
      <c r="AB94" s="131"/>
      <c r="AC94" s="131"/>
      <c r="AD94" s="132"/>
      <c r="AE94" s="134"/>
      <c r="AF94" s="131"/>
      <c r="AG94" s="131"/>
      <c r="AH94" s="132"/>
      <c r="AI94" s="134"/>
      <c r="AJ94" s="131"/>
      <c r="AK94" s="135"/>
      <c r="AL94" s="131"/>
      <c r="AM94" s="132"/>
      <c r="AN94" s="134"/>
      <c r="AO94" s="131"/>
      <c r="AP94" s="131"/>
      <c r="AQ94" s="132"/>
      <c r="AR94" s="134"/>
      <c r="AS94" s="131"/>
      <c r="AT94" s="131"/>
      <c r="AU94" s="131"/>
      <c r="AV94" s="132"/>
      <c r="AW94" s="134"/>
      <c r="AX94" s="131"/>
      <c r="AY94" s="131"/>
      <c r="AZ94" s="132"/>
      <c r="BA94" s="134"/>
      <c r="BB94" s="131"/>
      <c r="BC94" s="131"/>
      <c r="BD94" s="132"/>
      <c r="BE94" s="134"/>
      <c r="BF94" s="136"/>
      <c r="BG94" s="136"/>
      <c r="BH94" s="131"/>
      <c r="BI94" s="132"/>
      <c r="BJ94" s="133"/>
      <c r="BK94" s="135"/>
      <c r="BL94" s="131"/>
      <c r="BM94" s="136"/>
      <c r="BN94" s="134"/>
      <c r="BO94" s="131"/>
      <c r="BP94" s="131"/>
      <c r="BQ94" s="132"/>
      <c r="BR94" s="133"/>
      <c r="BS94" s="131"/>
      <c r="BT94" s="131"/>
      <c r="BU94" s="131"/>
      <c r="BV94" s="136"/>
      <c r="BW94" s="134"/>
      <c r="BX94" s="131"/>
      <c r="BY94" s="131"/>
      <c r="BZ94" s="132"/>
      <c r="CA94" s="133"/>
      <c r="CB94" s="131"/>
      <c r="CC94" s="131"/>
      <c r="CD94" s="132"/>
      <c r="CE94" s="137"/>
      <c r="CF94" s="133"/>
      <c r="CG94" s="138"/>
      <c r="CH94" s="138"/>
      <c r="CI94" s="139"/>
      <c r="CJ94" s="134"/>
      <c r="CK94" s="138"/>
      <c r="CL94" s="138"/>
      <c r="CM94" s="140"/>
      <c r="CR94" s="124"/>
      <c r="CV94" s="125"/>
      <c r="CW94" s="124"/>
      <c r="CZ94" s="126"/>
      <c r="DA94" s="124"/>
      <c r="DE94" s="124"/>
      <c r="DJ94" s="124"/>
      <c r="DK94" s="125"/>
      <c r="DM94" s="126"/>
      <c r="DN94" s="124"/>
      <c r="DS94" s="124"/>
      <c r="EA94" s="124"/>
      <c r="EE94" s="125"/>
      <c r="EF94" s="124"/>
      <c r="EJ94" s="124"/>
      <c r="EN94" s="124"/>
      <c r="ER94" s="126"/>
      <c r="EV94" s="125"/>
      <c r="EW94" s="124"/>
      <c r="EZ94" s="126"/>
      <c r="FF94" s="124"/>
      <c r="FI94" s="126"/>
      <c r="FK94" s="125"/>
      <c r="FN94" s="124"/>
      <c r="FR94" s="126"/>
      <c r="FW94" s="124"/>
      <c r="FZ94" s="126"/>
      <c r="GA94" s="124"/>
      <c r="GE94" s="141"/>
      <c r="GJ94" s="124"/>
      <c r="GM94" s="126"/>
      <c r="GS94" s="124"/>
      <c r="GV94" s="126"/>
      <c r="HA94" s="124"/>
      <c r="HE94" s="126"/>
      <c r="HJ94" s="124"/>
      <c r="HM94" s="126"/>
      <c r="HS94" s="124"/>
      <c r="HV94" s="126"/>
      <c r="IA94" s="124"/>
      <c r="IE94" s="125"/>
      <c r="IF94" s="124"/>
      <c r="II94" s="126"/>
      <c r="IN94" s="124"/>
      <c r="IR94" s="126"/>
      <c r="IW94" s="124"/>
      <c r="IZ94" s="126"/>
      <c r="JF94" s="124"/>
      <c r="JI94" s="126"/>
      <c r="JN94" s="124"/>
      <c r="JR94" s="126"/>
      <c r="JW94" s="124"/>
      <c r="JZ94" s="126"/>
      <c r="KD94" s="141"/>
      <c r="KE94" s="124"/>
      <c r="KH94" s="126"/>
    </row>
    <row r="95" spans="2:294" ht="19.2" thickBot="1">
      <c r="B95" s="127"/>
      <c r="C95" s="240"/>
      <c r="D95" s="158"/>
      <c r="E95" s="159"/>
      <c r="F95" s="160"/>
      <c r="G95" s="160"/>
      <c r="H95" s="160"/>
      <c r="I95" s="161"/>
      <c r="J95" s="162"/>
      <c r="K95" s="160"/>
      <c r="L95" s="160"/>
      <c r="M95" s="161"/>
      <c r="N95" s="163"/>
      <c r="O95" s="160"/>
      <c r="P95" s="160"/>
      <c r="Q95" s="161"/>
      <c r="R95" s="163"/>
      <c r="S95" s="160"/>
      <c r="T95" s="160"/>
      <c r="U95" s="161"/>
      <c r="V95" s="159"/>
      <c r="W95" s="160"/>
      <c r="X95" s="160"/>
      <c r="Y95" s="160"/>
      <c r="Z95" s="161"/>
      <c r="AA95" s="163"/>
      <c r="AB95" s="160"/>
      <c r="AC95" s="160"/>
      <c r="AD95" s="161"/>
      <c r="AE95" s="163"/>
      <c r="AF95" s="160"/>
      <c r="AG95" s="160"/>
      <c r="AH95" s="161"/>
      <c r="AI95" s="163"/>
      <c r="AJ95" s="160"/>
      <c r="AK95" s="164"/>
      <c r="AL95" s="160"/>
      <c r="AM95" s="161"/>
      <c r="AN95" s="163"/>
      <c r="AO95" s="160"/>
      <c r="AP95" s="160"/>
      <c r="AQ95" s="161"/>
      <c r="AR95" s="163"/>
      <c r="AS95" s="160"/>
      <c r="AT95" s="160"/>
      <c r="AU95" s="160"/>
      <c r="AV95" s="161"/>
      <c r="AW95" s="163"/>
      <c r="AX95" s="160"/>
      <c r="AY95" s="160"/>
      <c r="AZ95" s="161"/>
      <c r="BA95" s="163"/>
      <c r="BB95" s="160"/>
      <c r="BC95" s="160"/>
      <c r="BD95" s="161"/>
      <c r="BE95" s="163"/>
      <c r="BF95" s="165"/>
      <c r="BG95" s="165"/>
      <c r="BH95" s="160"/>
      <c r="BI95" s="161"/>
      <c r="BJ95" s="162"/>
      <c r="BK95" s="164"/>
      <c r="BL95" s="160"/>
      <c r="BM95" s="165"/>
      <c r="BN95" s="163"/>
      <c r="BO95" s="160"/>
      <c r="BP95" s="160"/>
      <c r="BQ95" s="161"/>
      <c r="BR95" s="162"/>
      <c r="BS95" s="160"/>
      <c r="BT95" s="160"/>
      <c r="BU95" s="160"/>
      <c r="BV95" s="165"/>
      <c r="BW95" s="163"/>
      <c r="BX95" s="160"/>
      <c r="BY95" s="160"/>
      <c r="BZ95" s="161"/>
      <c r="CA95" s="162"/>
      <c r="CB95" s="160"/>
      <c r="CC95" s="160"/>
      <c r="CD95" s="161"/>
      <c r="CE95" s="166"/>
      <c r="CF95" s="162"/>
      <c r="CG95" s="167"/>
      <c r="CH95" s="167"/>
      <c r="CI95" s="168"/>
      <c r="CJ95" s="163"/>
      <c r="CK95" s="167"/>
      <c r="CL95" s="167"/>
      <c r="CM95" s="169"/>
      <c r="CN95" s="145"/>
      <c r="CO95" s="145"/>
      <c r="CP95" s="145"/>
      <c r="CQ95" s="145"/>
      <c r="CR95" s="146"/>
      <c r="CS95" s="145"/>
      <c r="CT95" s="145"/>
      <c r="CU95" s="145"/>
      <c r="CV95" s="147"/>
      <c r="CW95" s="146"/>
      <c r="CX95" s="145"/>
      <c r="CY95" s="145"/>
      <c r="CZ95" s="148"/>
      <c r="DA95" s="146"/>
      <c r="DB95" s="145"/>
      <c r="DC95" s="145"/>
      <c r="DD95" s="145"/>
      <c r="DE95" s="146"/>
      <c r="DF95" s="145"/>
      <c r="DG95" s="145"/>
      <c r="DH95" s="145"/>
      <c r="DI95" s="145"/>
      <c r="DJ95" s="146"/>
      <c r="DK95" s="147"/>
      <c r="DL95" s="145"/>
      <c r="DM95" s="148"/>
      <c r="DN95" s="146"/>
      <c r="DO95" s="145"/>
      <c r="DP95" s="145"/>
      <c r="DQ95" s="145"/>
      <c r="DR95" s="145"/>
      <c r="DS95" s="146"/>
      <c r="DT95" s="145"/>
      <c r="DU95" s="145"/>
      <c r="DV95" s="145"/>
      <c r="DW95" s="145"/>
      <c r="DX95" s="145"/>
      <c r="DY95" s="145"/>
      <c r="DZ95" s="145"/>
      <c r="EA95" s="146"/>
      <c r="EB95" s="145"/>
      <c r="EC95" s="145"/>
      <c r="ED95" s="145"/>
      <c r="EE95" s="147"/>
      <c r="EF95" s="146"/>
      <c r="EG95" s="145"/>
      <c r="EH95" s="145"/>
      <c r="EI95" s="145"/>
      <c r="EJ95" s="146"/>
      <c r="EK95" s="145"/>
      <c r="EL95" s="145"/>
      <c r="EM95" s="145"/>
      <c r="EN95" s="146"/>
      <c r="EO95" s="145"/>
      <c r="EP95" s="145"/>
      <c r="EQ95" s="145"/>
      <c r="ER95" s="148"/>
      <c r="ES95" s="145"/>
      <c r="ET95" s="145"/>
      <c r="EU95" s="145"/>
      <c r="EV95" s="147"/>
      <c r="EW95" s="146"/>
      <c r="EX95" s="145"/>
      <c r="EY95" s="145"/>
      <c r="EZ95" s="148"/>
      <c r="FA95" s="145"/>
      <c r="FB95" s="145"/>
      <c r="FC95" s="145"/>
      <c r="FD95" s="145"/>
      <c r="FE95" s="145"/>
      <c r="FF95" s="146"/>
      <c r="FG95" s="145"/>
      <c r="FH95" s="145"/>
      <c r="FI95" s="148"/>
      <c r="FJ95" s="145"/>
      <c r="FK95" s="147"/>
      <c r="FL95" s="145"/>
      <c r="FM95" s="145"/>
      <c r="FN95" s="146"/>
      <c r="FO95" s="145"/>
      <c r="FP95" s="145"/>
      <c r="FQ95" s="145"/>
      <c r="FR95" s="148"/>
      <c r="FS95" s="145"/>
      <c r="FT95" s="145"/>
      <c r="FU95" s="145"/>
      <c r="FV95" s="145"/>
      <c r="FW95" s="146"/>
      <c r="FX95" s="145"/>
      <c r="FY95" s="145"/>
      <c r="FZ95" s="148"/>
      <c r="GA95" s="146"/>
      <c r="GB95" s="145"/>
      <c r="GC95" s="145"/>
      <c r="GD95" s="145"/>
      <c r="GE95" s="149"/>
      <c r="GF95" s="145"/>
      <c r="GG95" s="145"/>
      <c r="GH95" s="145"/>
      <c r="GI95" s="145"/>
      <c r="GJ95" s="146"/>
      <c r="GK95" s="145"/>
      <c r="GL95" s="145"/>
      <c r="GM95" s="148"/>
      <c r="GN95" s="145"/>
      <c r="GO95" s="145"/>
      <c r="GP95" s="145"/>
      <c r="GQ95" s="145"/>
      <c r="GR95" s="145"/>
      <c r="GS95" s="146"/>
      <c r="GT95" s="145"/>
      <c r="GU95" s="145"/>
      <c r="GV95" s="148"/>
      <c r="GW95" s="145"/>
      <c r="GX95" s="145"/>
      <c r="GY95" s="145"/>
      <c r="GZ95" s="145"/>
      <c r="HA95" s="146"/>
      <c r="HB95" s="145"/>
      <c r="HC95" s="145"/>
      <c r="HD95" s="145"/>
      <c r="HE95" s="148"/>
      <c r="HF95" s="145"/>
      <c r="HG95" s="145"/>
      <c r="HH95" s="145"/>
      <c r="HI95" s="145"/>
      <c r="HJ95" s="146"/>
      <c r="HK95" s="145"/>
      <c r="HL95" s="145"/>
      <c r="HM95" s="148"/>
      <c r="HN95" s="145"/>
      <c r="HO95" s="145"/>
      <c r="HP95" s="145"/>
      <c r="HQ95" s="145"/>
      <c r="HR95" s="145"/>
      <c r="HS95" s="146"/>
      <c r="HT95" s="145"/>
      <c r="HU95" s="145"/>
      <c r="HV95" s="148"/>
      <c r="HW95" s="145"/>
      <c r="HX95" s="145"/>
      <c r="HY95" s="145"/>
      <c r="HZ95" s="145"/>
      <c r="IA95" s="146"/>
      <c r="IB95" s="145"/>
      <c r="IC95" s="145"/>
      <c r="ID95" s="145"/>
      <c r="IE95" s="147"/>
      <c r="IF95" s="146"/>
      <c r="IG95" s="145"/>
      <c r="IH95" s="145"/>
      <c r="II95" s="148"/>
      <c r="IJ95" s="145"/>
      <c r="IK95" s="145"/>
      <c r="IL95" s="145"/>
      <c r="IM95" s="145"/>
      <c r="IN95" s="146"/>
      <c r="IO95" s="145"/>
      <c r="IP95" s="145"/>
      <c r="IQ95" s="145"/>
      <c r="IR95" s="148"/>
      <c r="IS95" s="145"/>
      <c r="IT95" s="145"/>
      <c r="IU95" s="145"/>
      <c r="IV95" s="145"/>
      <c r="IW95" s="146"/>
      <c r="IX95" s="145"/>
      <c r="IY95" s="145"/>
      <c r="IZ95" s="148"/>
      <c r="JA95" s="145"/>
      <c r="JB95" s="145"/>
      <c r="JC95" s="145"/>
      <c r="JD95" s="145"/>
      <c r="JE95" s="145"/>
      <c r="JF95" s="146"/>
      <c r="JG95" s="145"/>
      <c r="JH95" s="145"/>
      <c r="JI95" s="148"/>
      <c r="JJ95" s="145"/>
      <c r="JK95" s="145"/>
      <c r="JL95" s="145"/>
      <c r="JM95" s="145"/>
      <c r="JN95" s="146"/>
      <c r="JO95" s="145"/>
      <c r="JP95" s="145"/>
      <c r="JQ95" s="145"/>
      <c r="JR95" s="148"/>
      <c r="JS95" s="145"/>
      <c r="JT95" s="145"/>
      <c r="JU95" s="145"/>
      <c r="JV95" s="145"/>
      <c r="JW95" s="146"/>
      <c r="JX95" s="145"/>
      <c r="JY95" s="145"/>
      <c r="JZ95" s="148"/>
      <c r="KA95" s="145"/>
      <c r="KB95" s="145"/>
      <c r="KC95" s="145"/>
      <c r="KD95" s="149"/>
      <c r="KE95" s="146"/>
      <c r="KF95" s="145"/>
      <c r="KG95" s="145"/>
      <c r="KH95" s="148"/>
    </row>
    <row r="96" spans="2:294" ht="22.8" thickTop="1">
      <c r="B96" s="127"/>
      <c r="C96" s="234" t="s">
        <v>184</v>
      </c>
      <c r="D96" s="129" t="s">
        <v>186</v>
      </c>
      <c r="E96" s="130"/>
      <c r="F96" s="131"/>
      <c r="G96" s="131"/>
      <c r="H96" s="131"/>
      <c r="I96" s="132"/>
      <c r="J96" s="133"/>
      <c r="K96" s="131"/>
      <c r="L96" s="131"/>
      <c r="M96" s="132"/>
      <c r="N96" s="134"/>
      <c r="O96" s="131"/>
      <c r="P96" s="131"/>
      <c r="Q96" s="132"/>
      <c r="R96" s="134"/>
      <c r="S96" s="131"/>
      <c r="T96" s="131"/>
      <c r="U96" s="132"/>
      <c r="V96" s="130"/>
      <c r="W96" s="131"/>
      <c r="X96" s="131"/>
      <c r="Y96" s="131"/>
      <c r="Z96" s="132"/>
      <c r="AA96" s="134"/>
      <c r="AB96" s="131"/>
      <c r="AC96" s="131"/>
      <c r="AD96" s="132"/>
      <c r="AE96" s="134"/>
      <c r="AF96" s="131"/>
      <c r="AG96" s="131"/>
      <c r="AH96" s="132"/>
      <c r="AI96" s="134"/>
      <c r="AJ96" s="131"/>
      <c r="AK96" s="135"/>
      <c r="AL96" s="131"/>
      <c r="AM96" s="132"/>
      <c r="AN96" s="134"/>
      <c r="AO96" s="131"/>
      <c r="AP96" s="131"/>
      <c r="AQ96" s="132"/>
      <c r="AR96" s="134"/>
      <c r="AS96" s="131"/>
      <c r="AT96" s="131"/>
      <c r="AU96" s="131"/>
      <c r="AV96" s="132"/>
      <c r="AW96" s="134"/>
      <c r="AX96" s="131"/>
      <c r="AY96" s="131"/>
      <c r="AZ96" s="132"/>
      <c r="BA96" s="134"/>
      <c r="BB96" s="131"/>
      <c r="BC96" s="131"/>
      <c r="BD96" s="132"/>
      <c r="BE96" s="134"/>
      <c r="BF96" s="136"/>
      <c r="BG96" s="136"/>
      <c r="BH96" s="131"/>
      <c r="BI96" s="132"/>
      <c r="BJ96" s="133"/>
      <c r="BK96" s="135"/>
      <c r="BL96" s="131"/>
      <c r="BM96" s="136"/>
      <c r="BN96" s="134"/>
      <c r="BO96" s="131"/>
      <c r="BP96" s="131"/>
      <c r="BQ96" s="132"/>
      <c r="BR96" s="133"/>
      <c r="BS96" s="131"/>
      <c r="BT96" s="131"/>
      <c r="BU96" s="131"/>
      <c r="BV96" s="136"/>
      <c r="BW96" s="134"/>
      <c r="BX96" s="131"/>
      <c r="BY96" s="131"/>
      <c r="BZ96" s="132"/>
      <c r="CA96" s="133"/>
      <c r="CB96" s="131"/>
      <c r="CC96" s="131"/>
      <c r="CD96" s="132"/>
      <c r="CE96" s="137"/>
      <c r="CF96" s="133"/>
      <c r="CG96" s="138"/>
      <c r="CH96" s="138"/>
      <c r="CI96" s="139"/>
      <c r="CJ96" s="134"/>
      <c r="CK96" s="138"/>
      <c r="CL96" s="138"/>
      <c r="CM96" s="140"/>
      <c r="CN96" s="151"/>
      <c r="CO96" s="151"/>
      <c r="CP96" s="151"/>
      <c r="CQ96" s="151"/>
      <c r="CR96" s="150"/>
      <c r="CS96" s="151"/>
      <c r="CT96" s="151"/>
      <c r="CU96" s="151"/>
      <c r="CV96" s="152"/>
      <c r="CW96" s="150"/>
      <c r="CX96" s="153"/>
      <c r="CY96" s="151"/>
      <c r="CZ96" s="154"/>
      <c r="DA96" s="155"/>
      <c r="DB96" s="236"/>
      <c r="DC96" s="151"/>
      <c r="DD96" s="151"/>
      <c r="DE96" s="150"/>
      <c r="DF96" s="151"/>
      <c r="DG96" s="151"/>
      <c r="DH96" s="151"/>
      <c r="DI96" s="151"/>
      <c r="DJ96" s="150"/>
      <c r="DK96" s="152"/>
      <c r="DL96" s="151"/>
      <c r="DM96" s="154"/>
      <c r="DN96" s="150"/>
      <c r="DO96" s="151"/>
      <c r="DP96" s="151"/>
      <c r="DQ96" s="151"/>
      <c r="DR96" s="151"/>
      <c r="DS96" s="150"/>
      <c r="DT96" s="236"/>
      <c r="DU96" s="151"/>
      <c r="DV96" s="151"/>
      <c r="DW96" s="151"/>
      <c r="DX96" s="151"/>
      <c r="DY96" s="151"/>
      <c r="DZ96" s="151"/>
      <c r="EA96" s="237"/>
      <c r="EB96" s="151"/>
      <c r="EC96" s="151"/>
      <c r="ED96" s="151"/>
      <c r="EE96" s="152"/>
      <c r="EF96" s="150"/>
      <c r="EG96" s="151"/>
      <c r="EH96" s="151"/>
      <c r="EI96" s="151"/>
      <c r="EJ96" s="150"/>
      <c r="EK96" s="151"/>
      <c r="EL96" s="151"/>
      <c r="EM96" s="151"/>
      <c r="EN96" s="150"/>
      <c r="EO96" s="151"/>
      <c r="EP96" s="151"/>
      <c r="EQ96" s="151"/>
      <c r="ER96" s="154"/>
      <c r="ES96" s="151"/>
      <c r="ET96" s="151"/>
      <c r="EU96" s="151"/>
      <c r="EV96" s="152"/>
      <c r="EW96" s="150"/>
      <c r="EX96" s="151"/>
      <c r="EY96" s="151"/>
      <c r="EZ96" s="154"/>
      <c r="FA96" s="151"/>
      <c r="FB96" s="151"/>
      <c r="FC96" s="151"/>
      <c r="FD96" s="151"/>
      <c r="FE96" s="151"/>
      <c r="FF96" s="237"/>
      <c r="FG96" s="151"/>
      <c r="FH96" s="151"/>
      <c r="FI96" s="154"/>
      <c r="FJ96" s="151"/>
      <c r="FK96" s="152"/>
      <c r="FL96" s="151"/>
      <c r="FM96" s="151"/>
      <c r="FN96" s="237"/>
      <c r="FO96" s="151"/>
      <c r="FP96" s="151"/>
      <c r="FQ96" s="151"/>
      <c r="FR96" s="154"/>
      <c r="FS96" s="151"/>
      <c r="FT96" s="151"/>
      <c r="FU96" s="151"/>
      <c r="FV96" s="151"/>
      <c r="FW96" s="150"/>
      <c r="FX96" s="151"/>
      <c r="FY96" s="151"/>
      <c r="FZ96" s="154"/>
      <c r="GA96" s="150"/>
      <c r="GB96" s="151"/>
      <c r="GC96" s="151"/>
      <c r="GD96" s="151"/>
      <c r="GE96" s="156"/>
      <c r="GJ96" s="124"/>
      <c r="GM96" s="126"/>
      <c r="GS96" s="124"/>
      <c r="GV96" s="126"/>
      <c r="HA96" s="124"/>
      <c r="HE96" s="126"/>
      <c r="HJ96" s="124"/>
      <c r="HM96" s="126"/>
      <c r="HS96" s="124"/>
      <c r="HV96" s="126"/>
      <c r="IA96" s="124"/>
      <c r="IE96" s="125"/>
      <c r="IF96" s="124"/>
      <c r="II96" s="126"/>
      <c r="IN96" s="124"/>
      <c r="IR96" s="126"/>
      <c r="IW96" s="124"/>
      <c r="IZ96" s="126"/>
      <c r="JF96" s="124"/>
      <c r="JI96" s="126"/>
      <c r="JN96" s="124"/>
      <c r="JR96" s="126"/>
      <c r="JW96" s="124"/>
      <c r="JZ96" s="126"/>
      <c r="KD96" s="141"/>
      <c r="KE96" s="124"/>
      <c r="KH96" s="126"/>
    </row>
    <row r="97" spans="2:294" ht="18.600000000000001">
      <c r="B97" s="127"/>
      <c r="C97" s="234" t="s">
        <v>167</v>
      </c>
      <c r="D97" s="129"/>
      <c r="E97" s="130"/>
      <c r="F97" s="131"/>
      <c r="G97" s="131"/>
      <c r="H97" s="131"/>
      <c r="I97" s="132"/>
      <c r="J97" s="133"/>
      <c r="K97" s="131"/>
      <c r="L97" s="131"/>
      <c r="M97" s="132"/>
      <c r="N97" s="134"/>
      <c r="O97" s="131"/>
      <c r="P97" s="131"/>
      <c r="Q97" s="132"/>
      <c r="R97" s="134"/>
      <c r="S97" s="131"/>
      <c r="T97" s="131"/>
      <c r="U97" s="132"/>
      <c r="V97" s="130"/>
      <c r="W97" s="131"/>
      <c r="X97" s="131"/>
      <c r="Y97" s="131"/>
      <c r="Z97" s="132"/>
      <c r="AA97" s="134"/>
      <c r="AB97" s="131"/>
      <c r="AC97" s="131"/>
      <c r="AD97" s="132"/>
      <c r="AE97" s="134"/>
      <c r="AF97" s="131"/>
      <c r="AG97" s="131"/>
      <c r="AH97" s="132"/>
      <c r="AI97" s="134"/>
      <c r="AJ97" s="131"/>
      <c r="AK97" s="135"/>
      <c r="AL97" s="131"/>
      <c r="AM97" s="132"/>
      <c r="AN97" s="134"/>
      <c r="AO97" s="131"/>
      <c r="AP97" s="131"/>
      <c r="AQ97" s="132"/>
      <c r="AR97" s="134"/>
      <c r="AS97" s="131"/>
      <c r="AT97" s="131"/>
      <c r="AU97" s="131"/>
      <c r="AV97" s="132"/>
      <c r="AW97" s="134"/>
      <c r="AX97" s="131"/>
      <c r="AY97" s="131"/>
      <c r="AZ97" s="132"/>
      <c r="BA97" s="134"/>
      <c r="BB97" s="131"/>
      <c r="BC97" s="131"/>
      <c r="BD97" s="132"/>
      <c r="BE97" s="134"/>
      <c r="BF97" s="136"/>
      <c r="BG97" s="136"/>
      <c r="BH97" s="131"/>
      <c r="BI97" s="132"/>
      <c r="BJ97" s="133"/>
      <c r="BK97" s="135"/>
      <c r="BL97" s="131"/>
      <c r="BM97" s="136"/>
      <c r="BN97" s="134"/>
      <c r="BO97" s="131"/>
      <c r="BP97" s="131"/>
      <c r="BQ97" s="132"/>
      <c r="BR97" s="133"/>
      <c r="BS97" s="131"/>
      <c r="BT97" s="131"/>
      <c r="BU97" s="131"/>
      <c r="BV97" s="136"/>
      <c r="BW97" s="134"/>
      <c r="BX97" s="131"/>
      <c r="BY97" s="131"/>
      <c r="BZ97" s="132"/>
      <c r="CA97" s="133"/>
      <c r="CB97" s="131"/>
      <c r="CC97" s="131"/>
      <c r="CD97" s="132"/>
      <c r="CE97" s="137"/>
      <c r="CF97" s="133"/>
      <c r="CG97" s="138"/>
      <c r="CH97" s="138"/>
      <c r="CI97" s="139"/>
      <c r="CJ97" s="134"/>
      <c r="CK97" s="138"/>
      <c r="CL97" s="138"/>
      <c r="CM97" s="140"/>
      <c r="CR97" s="124"/>
      <c r="CV97" s="125"/>
      <c r="CW97" s="124"/>
      <c r="CZ97" s="126"/>
      <c r="DA97" s="124"/>
      <c r="DE97" s="124"/>
      <c r="DJ97" s="124"/>
      <c r="DK97" s="125"/>
      <c r="DM97" s="126"/>
      <c r="DN97" s="124"/>
      <c r="DS97" s="124"/>
      <c r="EA97" s="124"/>
      <c r="EE97" s="125"/>
      <c r="EF97" s="124"/>
      <c r="EJ97" s="124"/>
      <c r="EN97" s="124"/>
      <c r="ER97" s="126"/>
      <c r="EV97" s="125"/>
      <c r="EW97" s="124"/>
      <c r="EZ97" s="126"/>
      <c r="FF97" s="124"/>
      <c r="FI97" s="126"/>
      <c r="FK97" s="125"/>
      <c r="FN97" s="124"/>
      <c r="FR97" s="126"/>
      <c r="FW97" s="124"/>
      <c r="FZ97" s="126"/>
      <c r="GA97" s="124"/>
      <c r="GE97" s="141"/>
      <c r="GJ97" s="124"/>
      <c r="GM97" s="126"/>
      <c r="GS97" s="124"/>
      <c r="GV97" s="126"/>
      <c r="HA97" s="124"/>
      <c r="HE97" s="126"/>
      <c r="HJ97" s="124"/>
      <c r="HM97" s="126"/>
      <c r="HS97" s="124"/>
      <c r="HV97" s="126"/>
      <c r="IA97" s="124"/>
      <c r="IE97" s="125"/>
      <c r="IF97" s="124"/>
      <c r="II97" s="126"/>
      <c r="IN97" s="124"/>
      <c r="IR97" s="126"/>
      <c r="IW97" s="124"/>
      <c r="IZ97" s="126"/>
      <c r="JF97" s="124"/>
      <c r="JI97" s="126"/>
      <c r="JN97" s="124"/>
      <c r="JR97" s="126"/>
      <c r="JW97" s="124"/>
      <c r="JZ97" s="126"/>
      <c r="KD97" s="141"/>
      <c r="KE97" s="124"/>
      <c r="KH97" s="126"/>
    </row>
    <row r="98" spans="2:294" ht="18.600000000000001">
      <c r="B98" s="127"/>
      <c r="C98" s="241" t="s">
        <v>197</v>
      </c>
      <c r="D98" s="129"/>
      <c r="E98" s="130"/>
      <c r="F98" s="131"/>
      <c r="G98" s="131"/>
      <c r="H98" s="131"/>
      <c r="I98" s="132"/>
      <c r="J98" s="133"/>
      <c r="K98" s="131"/>
      <c r="L98" s="131"/>
      <c r="M98" s="132"/>
      <c r="N98" s="134"/>
      <c r="O98" s="131"/>
      <c r="P98" s="131"/>
      <c r="Q98" s="132"/>
      <c r="R98" s="134"/>
      <c r="S98" s="131"/>
      <c r="T98" s="131"/>
      <c r="U98" s="132"/>
      <c r="V98" s="130"/>
      <c r="W98" s="131"/>
      <c r="X98" s="131"/>
      <c r="Y98" s="131"/>
      <c r="Z98" s="132"/>
      <c r="AA98" s="134"/>
      <c r="AB98" s="131"/>
      <c r="AC98" s="131"/>
      <c r="AD98" s="132"/>
      <c r="AE98" s="134"/>
      <c r="AF98" s="131"/>
      <c r="AG98" s="131"/>
      <c r="AH98" s="132"/>
      <c r="AI98" s="134"/>
      <c r="AJ98" s="131"/>
      <c r="AK98" s="135"/>
      <c r="AL98" s="131"/>
      <c r="AM98" s="132"/>
      <c r="AN98" s="134"/>
      <c r="AO98" s="131"/>
      <c r="AP98" s="131"/>
      <c r="AQ98" s="132"/>
      <c r="AR98" s="134"/>
      <c r="AS98" s="131"/>
      <c r="AT98" s="131"/>
      <c r="AU98" s="131"/>
      <c r="AV98" s="132"/>
      <c r="AW98" s="134"/>
      <c r="AX98" s="131"/>
      <c r="AY98" s="131"/>
      <c r="AZ98" s="132"/>
      <c r="BA98" s="134"/>
      <c r="BB98" s="131"/>
      <c r="BC98" s="131"/>
      <c r="BD98" s="132"/>
      <c r="BE98" s="134"/>
      <c r="BF98" s="136"/>
      <c r="BG98" s="136"/>
      <c r="BH98" s="131"/>
      <c r="BI98" s="132"/>
      <c r="BJ98" s="133"/>
      <c r="BK98" s="135"/>
      <c r="BL98" s="131"/>
      <c r="BM98" s="136"/>
      <c r="BN98" s="134"/>
      <c r="BO98" s="131"/>
      <c r="BP98" s="131"/>
      <c r="BQ98" s="132"/>
      <c r="BR98" s="133"/>
      <c r="BS98" s="131"/>
      <c r="BT98" s="131"/>
      <c r="BU98" s="131"/>
      <c r="BV98" s="136"/>
      <c r="BW98" s="134"/>
      <c r="BX98" s="131"/>
      <c r="BY98" s="131"/>
      <c r="BZ98" s="132"/>
      <c r="CA98" s="133"/>
      <c r="CB98" s="131"/>
      <c r="CC98" s="131"/>
      <c r="CD98" s="132"/>
      <c r="CE98" s="137"/>
      <c r="CF98" s="133"/>
      <c r="CG98" s="138"/>
      <c r="CH98" s="138"/>
      <c r="CI98" s="139"/>
      <c r="CJ98" s="134"/>
      <c r="CK98" s="138"/>
      <c r="CL98" s="138"/>
      <c r="CM98" s="140"/>
      <c r="CR98" s="124"/>
      <c r="CV98" s="125"/>
      <c r="CW98" s="124"/>
      <c r="CZ98" s="126"/>
      <c r="DA98" s="124"/>
      <c r="DE98" s="124"/>
      <c r="DJ98" s="124"/>
      <c r="DK98" s="125"/>
      <c r="DM98" s="126"/>
      <c r="DN98" s="124"/>
      <c r="DS98" s="124"/>
      <c r="EA98" s="124"/>
      <c r="EE98" s="125"/>
      <c r="EF98" s="124"/>
      <c r="EJ98" s="124"/>
      <c r="EN98" s="124"/>
      <c r="ER98" s="126"/>
      <c r="EV98" s="125"/>
      <c r="EW98" s="124"/>
      <c r="EZ98" s="126"/>
      <c r="FF98" s="124"/>
      <c r="FI98" s="126"/>
      <c r="FK98" s="125"/>
      <c r="FN98" s="124"/>
      <c r="FR98" s="126"/>
      <c r="FW98" s="124"/>
      <c r="FZ98" s="126"/>
      <c r="GA98" s="124"/>
      <c r="GE98" s="141"/>
      <c r="GJ98" s="124"/>
      <c r="GM98" s="126"/>
      <c r="GS98" s="124"/>
      <c r="GV98" s="126"/>
      <c r="HA98" s="124"/>
      <c r="HE98" s="126"/>
      <c r="HJ98" s="124"/>
      <c r="HM98" s="126"/>
      <c r="HS98" s="124"/>
      <c r="HV98" s="126"/>
      <c r="IA98" s="124"/>
      <c r="IE98" s="125"/>
      <c r="IF98" s="124"/>
      <c r="II98" s="126"/>
      <c r="IN98" s="124"/>
      <c r="IR98" s="126"/>
      <c r="IW98" s="124"/>
      <c r="IZ98" s="126"/>
      <c r="JF98" s="124"/>
      <c r="JI98" s="126"/>
      <c r="JN98" s="124"/>
      <c r="JR98" s="126"/>
      <c r="JW98" s="124"/>
      <c r="JZ98" s="126"/>
      <c r="KD98" s="141"/>
      <c r="KE98" s="124"/>
      <c r="KH98" s="126"/>
    </row>
    <row r="99" spans="2:294" ht="18.600000000000001">
      <c r="B99" s="127"/>
      <c r="C99" s="239"/>
      <c r="D99" s="129"/>
      <c r="E99" s="130"/>
      <c r="F99" s="131"/>
      <c r="G99" s="131"/>
      <c r="H99" s="131"/>
      <c r="I99" s="132"/>
      <c r="J99" s="133"/>
      <c r="K99" s="131"/>
      <c r="L99" s="131"/>
      <c r="M99" s="132"/>
      <c r="N99" s="134"/>
      <c r="O99" s="131"/>
      <c r="P99" s="131"/>
      <c r="Q99" s="132"/>
      <c r="R99" s="134"/>
      <c r="S99" s="131"/>
      <c r="T99" s="131"/>
      <c r="U99" s="132"/>
      <c r="V99" s="130"/>
      <c r="W99" s="131"/>
      <c r="X99" s="131"/>
      <c r="Y99" s="131"/>
      <c r="Z99" s="132"/>
      <c r="AA99" s="134"/>
      <c r="AB99" s="131"/>
      <c r="AC99" s="131"/>
      <c r="AD99" s="132"/>
      <c r="AE99" s="134"/>
      <c r="AF99" s="131"/>
      <c r="AG99" s="131"/>
      <c r="AH99" s="132"/>
      <c r="AI99" s="134"/>
      <c r="AJ99" s="131"/>
      <c r="AK99" s="135"/>
      <c r="AL99" s="131"/>
      <c r="AM99" s="132"/>
      <c r="AN99" s="134"/>
      <c r="AO99" s="131"/>
      <c r="AP99" s="131"/>
      <c r="AQ99" s="132"/>
      <c r="AR99" s="134"/>
      <c r="AS99" s="131"/>
      <c r="AT99" s="131"/>
      <c r="AU99" s="131"/>
      <c r="AV99" s="132"/>
      <c r="AW99" s="134"/>
      <c r="AX99" s="131"/>
      <c r="AY99" s="131"/>
      <c r="AZ99" s="132"/>
      <c r="BA99" s="134"/>
      <c r="BB99" s="131"/>
      <c r="BC99" s="131"/>
      <c r="BD99" s="132"/>
      <c r="BE99" s="134"/>
      <c r="BF99" s="136"/>
      <c r="BG99" s="136"/>
      <c r="BH99" s="131"/>
      <c r="BI99" s="132"/>
      <c r="BJ99" s="133"/>
      <c r="BK99" s="135"/>
      <c r="BL99" s="131"/>
      <c r="BM99" s="136"/>
      <c r="BN99" s="134"/>
      <c r="BO99" s="131"/>
      <c r="BP99" s="131"/>
      <c r="BQ99" s="132"/>
      <c r="BR99" s="133"/>
      <c r="BS99" s="131"/>
      <c r="BT99" s="131"/>
      <c r="BU99" s="131"/>
      <c r="BV99" s="136"/>
      <c r="BW99" s="134"/>
      <c r="BX99" s="131"/>
      <c r="BY99" s="131"/>
      <c r="BZ99" s="132"/>
      <c r="CA99" s="133"/>
      <c r="CB99" s="131"/>
      <c r="CC99" s="131"/>
      <c r="CD99" s="132"/>
      <c r="CE99" s="137"/>
      <c r="CF99" s="133"/>
      <c r="CG99" s="138"/>
      <c r="CH99" s="138"/>
      <c r="CI99" s="139"/>
      <c r="CJ99" s="134"/>
      <c r="CK99" s="138"/>
      <c r="CL99" s="138"/>
      <c r="CM99" s="140"/>
      <c r="CR99" s="124"/>
      <c r="CV99" s="125"/>
      <c r="CW99" s="124"/>
      <c r="CZ99" s="126"/>
      <c r="DA99" s="124"/>
      <c r="DE99" s="124"/>
      <c r="DJ99" s="124"/>
      <c r="DK99" s="125"/>
      <c r="DM99" s="126"/>
      <c r="DN99" s="124"/>
      <c r="DS99" s="124"/>
      <c r="EA99" s="124"/>
      <c r="EE99" s="125"/>
      <c r="EF99" s="124"/>
      <c r="EJ99" s="124"/>
      <c r="EN99" s="124"/>
      <c r="ER99" s="126"/>
      <c r="EV99" s="125"/>
      <c r="EW99" s="124"/>
      <c r="EZ99" s="126"/>
      <c r="FF99" s="124"/>
      <c r="FI99" s="126"/>
      <c r="FK99" s="125"/>
      <c r="FN99" s="124"/>
      <c r="FR99" s="126"/>
      <c r="FW99" s="124"/>
      <c r="FZ99" s="126"/>
      <c r="GA99" s="124"/>
      <c r="GE99" s="141"/>
      <c r="GJ99" s="124"/>
      <c r="GM99" s="126"/>
      <c r="GS99" s="124"/>
      <c r="GV99" s="126"/>
      <c r="HA99" s="124"/>
      <c r="HE99" s="126"/>
      <c r="HJ99" s="124"/>
      <c r="HM99" s="126"/>
      <c r="HS99" s="124"/>
      <c r="HV99" s="126"/>
      <c r="IA99" s="124"/>
      <c r="IE99" s="125"/>
      <c r="IF99" s="124"/>
      <c r="II99" s="126"/>
      <c r="IN99" s="124"/>
      <c r="IR99" s="126"/>
      <c r="IW99" s="124"/>
      <c r="IZ99" s="126"/>
      <c r="JF99" s="124"/>
      <c r="JI99" s="126"/>
      <c r="JN99" s="124"/>
      <c r="JR99" s="126"/>
      <c r="JW99" s="124"/>
      <c r="JZ99" s="126"/>
      <c r="KD99" s="141"/>
      <c r="KE99" s="124"/>
      <c r="KH99" s="126"/>
    </row>
    <row r="100" spans="2:294" ht="19.2" thickBot="1">
      <c r="B100" s="127"/>
      <c r="C100" s="240" t="s">
        <v>198</v>
      </c>
      <c r="D100" s="158"/>
      <c r="E100" s="159"/>
      <c r="F100" s="160"/>
      <c r="G100" s="160"/>
      <c r="H100" s="160"/>
      <c r="I100" s="161"/>
      <c r="J100" s="162"/>
      <c r="K100" s="160"/>
      <c r="L100" s="160"/>
      <c r="M100" s="161"/>
      <c r="N100" s="163"/>
      <c r="O100" s="160"/>
      <c r="P100" s="160"/>
      <c r="Q100" s="161"/>
      <c r="R100" s="163"/>
      <c r="S100" s="160"/>
      <c r="T100" s="160"/>
      <c r="U100" s="161"/>
      <c r="V100" s="159"/>
      <c r="W100" s="160"/>
      <c r="X100" s="160"/>
      <c r="Y100" s="160"/>
      <c r="Z100" s="161"/>
      <c r="AA100" s="163"/>
      <c r="AB100" s="160"/>
      <c r="AC100" s="160"/>
      <c r="AD100" s="161"/>
      <c r="AE100" s="163"/>
      <c r="AF100" s="160"/>
      <c r="AG100" s="160"/>
      <c r="AH100" s="161"/>
      <c r="AI100" s="163"/>
      <c r="AJ100" s="160"/>
      <c r="AK100" s="164"/>
      <c r="AL100" s="160"/>
      <c r="AM100" s="161"/>
      <c r="AN100" s="163"/>
      <c r="AO100" s="160"/>
      <c r="AP100" s="160"/>
      <c r="AQ100" s="161"/>
      <c r="AR100" s="163"/>
      <c r="AS100" s="160"/>
      <c r="AT100" s="160"/>
      <c r="AU100" s="160"/>
      <c r="AV100" s="161"/>
      <c r="AW100" s="163"/>
      <c r="AX100" s="160"/>
      <c r="AY100" s="160"/>
      <c r="AZ100" s="161"/>
      <c r="BA100" s="163"/>
      <c r="BB100" s="160"/>
      <c r="BC100" s="160"/>
      <c r="BD100" s="161"/>
      <c r="BE100" s="163"/>
      <c r="BF100" s="165"/>
      <c r="BG100" s="165"/>
      <c r="BH100" s="160"/>
      <c r="BI100" s="161"/>
      <c r="BJ100" s="162"/>
      <c r="BK100" s="164"/>
      <c r="BL100" s="160"/>
      <c r="BM100" s="165"/>
      <c r="BN100" s="163"/>
      <c r="BO100" s="160"/>
      <c r="BP100" s="160"/>
      <c r="BQ100" s="161"/>
      <c r="BR100" s="162"/>
      <c r="BS100" s="160"/>
      <c r="BT100" s="160"/>
      <c r="BU100" s="160"/>
      <c r="BV100" s="165"/>
      <c r="BW100" s="163"/>
      <c r="BX100" s="160"/>
      <c r="BY100" s="160"/>
      <c r="BZ100" s="161"/>
      <c r="CA100" s="162"/>
      <c r="CB100" s="160"/>
      <c r="CC100" s="160"/>
      <c r="CD100" s="161"/>
      <c r="CE100" s="166"/>
      <c r="CF100" s="162"/>
      <c r="CG100" s="167"/>
      <c r="CH100" s="167"/>
      <c r="CI100" s="168"/>
      <c r="CJ100" s="163"/>
      <c r="CK100" s="167"/>
      <c r="CL100" s="167"/>
      <c r="CM100" s="169"/>
      <c r="CN100" s="145"/>
      <c r="CO100" s="145"/>
      <c r="CP100" s="145"/>
      <c r="CQ100" s="145"/>
      <c r="CR100" s="146"/>
      <c r="CS100" s="145"/>
      <c r="CT100" s="145"/>
      <c r="CU100" s="145"/>
      <c r="CV100" s="147"/>
      <c r="CW100" s="146"/>
      <c r="CX100" s="145"/>
      <c r="CY100" s="145"/>
      <c r="CZ100" s="148"/>
      <c r="DA100" s="146"/>
      <c r="DB100" s="145"/>
      <c r="DC100" s="145"/>
      <c r="DD100" s="145"/>
      <c r="DE100" s="146"/>
      <c r="DF100" s="145"/>
      <c r="DG100" s="145"/>
      <c r="DH100" s="145"/>
      <c r="DI100" s="145"/>
      <c r="DJ100" s="146"/>
      <c r="DK100" s="147"/>
      <c r="DL100" s="145"/>
      <c r="DM100" s="148"/>
      <c r="DN100" s="146"/>
      <c r="DO100" s="145"/>
      <c r="DP100" s="145"/>
      <c r="DQ100" s="145"/>
      <c r="DR100" s="145"/>
      <c r="DS100" s="146"/>
      <c r="DT100" s="145"/>
      <c r="DU100" s="145"/>
      <c r="DV100" s="145"/>
      <c r="DW100" s="145"/>
      <c r="DX100" s="145"/>
      <c r="DY100" s="145"/>
      <c r="DZ100" s="145"/>
      <c r="EA100" s="146"/>
      <c r="EB100" s="145"/>
      <c r="EC100" s="145"/>
      <c r="ED100" s="145"/>
      <c r="EE100" s="147"/>
      <c r="EF100" s="146"/>
      <c r="EG100" s="145"/>
      <c r="EH100" s="145"/>
      <c r="EI100" s="145"/>
      <c r="EJ100" s="146"/>
      <c r="EK100" s="145"/>
      <c r="EL100" s="145"/>
      <c r="EM100" s="145"/>
      <c r="EN100" s="146"/>
      <c r="EO100" s="145"/>
      <c r="EP100" s="145"/>
      <c r="EQ100" s="145"/>
      <c r="ER100" s="148"/>
      <c r="ES100" s="145"/>
      <c r="ET100" s="145"/>
      <c r="EU100" s="145"/>
      <c r="EV100" s="147"/>
      <c r="EW100" s="146"/>
      <c r="EX100" s="145"/>
      <c r="EY100" s="145"/>
      <c r="EZ100" s="148"/>
      <c r="FA100" s="145"/>
      <c r="FB100" s="145"/>
      <c r="FC100" s="145"/>
      <c r="FD100" s="145"/>
      <c r="FE100" s="145"/>
      <c r="FF100" s="146"/>
      <c r="FG100" s="145"/>
      <c r="FH100" s="145"/>
      <c r="FI100" s="148"/>
      <c r="FJ100" s="145"/>
      <c r="FK100" s="147"/>
      <c r="FL100" s="145"/>
      <c r="FM100" s="145"/>
      <c r="FN100" s="146"/>
      <c r="FO100" s="145"/>
      <c r="FP100" s="145"/>
      <c r="FQ100" s="145"/>
      <c r="FR100" s="148"/>
      <c r="FS100" s="145"/>
      <c r="FT100" s="145"/>
      <c r="FU100" s="145"/>
      <c r="FV100" s="145"/>
      <c r="FW100" s="146"/>
      <c r="FX100" s="145"/>
      <c r="FY100" s="145"/>
      <c r="FZ100" s="148"/>
      <c r="GA100" s="146"/>
      <c r="GB100" s="145"/>
      <c r="GC100" s="145"/>
      <c r="GD100" s="145"/>
      <c r="GE100" s="149"/>
      <c r="GF100" s="145"/>
      <c r="GG100" s="145"/>
      <c r="GH100" s="145"/>
      <c r="GI100" s="145"/>
      <c r="GJ100" s="146"/>
      <c r="GK100" s="145"/>
      <c r="GL100" s="145"/>
      <c r="GM100" s="148"/>
      <c r="GN100" s="145"/>
      <c r="GO100" s="145"/>
      <c r="GP100" s="145"/>
      <c r="GQ100" s="145"/>
      <c r="GR100" s="145"/>
      <c r="GS100" s="146"/>
      <c r="GT100" s="145"/>
      <c r="GU100" s="145"/>
      <c r="GV100" s="148"/>
      <c r="GW100" s="145"/>
      <c r="GX100" s="145"/>
      <c r="GY100" s="145"/>
      <c r="GZ100" s="145"/>
      <c r="HA100" s="146"/>
      <c r="HB100" s="145"/>
      <c r="HC100" s="145"/>
      <c r="HD100" s="145"/>
      <c r="HE100" s="148"/>
      <c r="HF100" s="145"/>
      <c r="HG100" s="145"/>
      <c r="HH100" s="145"/>
      <c r="HI100" s="145"/>
      <c r="HJ100" s="146"/>
      <c r="HK100" s="145"/>
      <c r="HL100" s="145"/>
      <c r="HM100" s="148"/>
      <c r="HN100" s="145"/>
      <c r="HO100" s="145"/>
      <c r="HP100" s="145"/>
      <c r="HQ100" s="145"/>
      <c r="HR100" s="145"/>
      <c r="HS100" s="146"/>
      <c r="HT100" s="145"/>
      <c r="HU100" s="145"/>
      <c r="HV100" s="148"/>
      <c r="HW100" s="145"/>
      <c r="HX100" s="145"/>
      <c r="HY100" s="145"/>
      <c r="HZ100" s="145"/>
      <c r="IA100" s="146"/>
      <c r="IB100" s="145"/>
      <c r="IC100" s="145"/>
      <c r="ID100" s="145"/>
      <c r="IE100" s="147"/>
      <c r="IF100" s="146"/>
      <c r="IG100" s="145"/>
      <c r="IH100" s="145"/>
      <c r="II100" s="148"/>
      <c r="IJ100" s="145"/>
      <c r="IK100" s="145"/>
      <c r="IL100" s="145"/>
      <c r="IM100" s="145"/>
      <c r="IN100" s="146"/>
      <c r="IO100" s="145"/>
      <c r="IP100" s="145"/>
      <c r="IQ100" s="145"/>
      <c r="IR100" s="148"/>
      <c r="IS100" s="145"/>
      <c r="IT100" s="145"/>
      <c r="IU100" s="145"/>
      <c r="IV100" s="145"/>
      <c r="IW100" s="146"/>
      <c r="IX100" s="145"/>
      <c r="IY100" s="145"/>
      <c r="IZ100" s="148"/>
      <c r="JA100" s="145"/>
      <c r="JB100" s="145"/>
      <c r="JC100" s="145"/>
      <c r="JD100" s="145"/>
      <c r="JE100" s="145"/>
      <c r="JF100" s="146"/>
      <c r="JG100" s="145"/>
      <c r="JH100" s="145"/>
      <c r="JI100" s="148"/>
      <c r="JJ100" s="145"/>
      <c r="JK100" s="145"/>
      <c r="JL100" s="145"/>
      <c r="JM100" s="145"/>
      <c r="JN100" s="146"/>
      <c r="JO100" s="145"/>
      <c r="JP100" s="145"/>
      <c r="JQ100" s="145"/>
      <c r="JR100" s="148"/>
      <c r="JS100" s="145"/>
      <c r="JT100" s="145"/>
      <c r="JU100" s="145"/>
      <c r="JV100" s="145"/>
      <c r="JW100" s="146"/>
      <c r="JX100" s="145"/>
      <c r="JY100" s="145"/>
      <c r="JZ100" s="148"/>
      <c r="KA100" s="145"/>
      <c r="KB100" s="145"/>
      <c r="KC100" s="145"/>
      <c r="KD100" s="149"/>
      <c r="KE100" s="146"/>
      <c r="KF100" s="145"/>
      <c r="KG100" s="145"/>
      <c r="KH100" s="148"/>
    </row>
    <row r="101" spans="2:294" ht="22.8" thickTop="1">
      <c r="B101" s="127"/>
      <c r="C101" s="234" t="s">
        <v>184</v>
      </c>
      <c r="D101" s="129" t="s">
        <v>192</v>
      </c>
      <c r="E101" s="130"/>
      <c r="F101" s="131"/>
      <c r="G101" s="131"/>
      <c r="H101" s="131"/>
      <c r="I101" s="132"/>
      <c r="J101" s="133"/>
      <c r="K101" s="131"/>
      <c r="L101" s="131"/>
      <c r="M101" s="132"/>
      <c r="N101" s="134"/>
      <c r="O101" s="131"/>
      <c r="P101" s="131"/>
      <c r="Q101" s="132"/>
      <c r="R101" s="134"/>
      <c r="S101" s="131"/>
      <c r="T101" s="131"/>
      <c r="U101" s="132"/>
      <c r="V101" s="130"/>
      <c r="W101" s="131"/>
      <c r="X101" s="131"/>
      <c r="Y101" s="131"/>
      <c r="Z101" s="132"/>
      <c r="AA101" s="134"/>
      <c r="AB101" s="131"/>
      <c r="AC101" s="131"/>
      <c r="AD101" s="132"/>
      <c r="AE101" s="134"/>
      <c r="AF101" s="131"/>
      <c r="AG101" s="131"/>
      <c r="AH101" s="132"/>
      <c r="AI101" s="134"/>
      <c r="AJ101" s="131"/>
      <c r="AK101" s="135"/>
      <c r="AL101" s="131"/>
      <c r="AM101" s="132"/>
      <c r="AN101" s="134"/>
      <c r="AO101" s="131"/>
      <c r="AP101" s="131"/>
      <c r="AQ101" s="132"/>
      <c r="AR101" s="134"/>
      <c r="AS101" s="131"/>
      <c r="AT101" s="131"/>
      <c r="AU101" s="131"/>
      <c r="AV101" s="132"/>
      <c r="AW101" s="134"/>
      <c r="AX101" s="131"/>
      <c r="AY101" s="131"/>
      <c r="AZ101" s="132"/>
      <c r="BA101" s="134"/>
      <c r="BB101" s="131"/>
      <c r="BC101" s="131"/>
      <c r="BD101" s="132"/>
      <c r="BE101" s="134"/>
      <c r="BF101" s="136"/>
      <c r="BG101" s="136"/>
      <c r="BH101" s="131"/>
      <c r="BI101" s="132"/>
      <c r="BJ101" s="133"/>
      <c r="BK101" s="135"/>
      <c r="BL101" s="131"/>
      <c r="BM101" s="136"/>
      <c r="BN101" s="134"/>
      <c r="BO101" s="131"/>
      <c r="BP101" s="131"/>
      <c r="BQ101" s="132"/>
      <c r="BR101" s="133"/>
      <c r="BS101" s="131"/>
      <c r="BT101" s="131"/>
      <c r="BU101" s="131"/>
      <c r="BV101" s="136"/>
      <c r="BW101" s="134"/>
      <c r="BX101" s="131"/>
      <c r="BY101" s="131"/>
      <c r="BZ101" s="132"/>
      <c r="CA101" s="133"/>
      <c r="CB101" s="131"/>
      <c r="CC101" s="131"/>
      <c r="CD101" s="132"/>
      <c r="CE101" s="137"/>
      <c r="CF101" s="133"/>
      <c r="CG101" s="138"/>
      <c r="CH101" s="138"/>
      <c r="CI101" s="139"/>
      <c r="CJ101" s="134"/>
      <c r="CK101" s="138"/>
      <c r="CL101" s="138"/>
      <c r="CM101" s="140"/>
      <c r="CN101" s="151"/>
      <c r="CO101" s="151"/>
      <c r="CP101" s="151"/>
      <c r="CQ101" s="151"/>
      <c r="CR101" s="150"/>
      <c r="CS101" s="151"/>
      <c r="CT101" s="151"/>
      <c r="CU101" s="151"/>
      <c r="CV101" s="152"/>
      <c r="CW101" s="150"/>
      <c r="CX101" s="153"/>
      <c r="CY101" s="151"/>
      <c r="CZ101" s="154"/>
      <c r="DA101" s="155"/>
      <c r="DB101" s="236"/>
      <c r="DC101" s="151"/>
      <c r="DD101" s="151"/>
      <c r="DE101" s="150"/>
      <c r="DF101" s="151"/>
      <c r="DG101" s="151"/>
      <c r="DH101" s="151"/>
      <c r="DI101" s="151"/>
      <c r="DJ101" s="150"/>
      <c r="DK101" s="152"/>
      <c r="DL101" s="151"/>
      <c r="DM101" s="154"/>
      <c r="DN101" s="150"/>
      <c r="DO101" s="151"/>
      <c r="DP101" s="151"/>
      <c r="DQ101" s="151"/>
      <c r="DR101" s="151"/>
      <c r="DS101" s="150"/>
      <c r="DT101" s="236"/>
      <c r="DU101" s="151"/>
      <c r="DV101" s="151"/>
      <c r="DW101" s="151"/>
      <c r="DX101" s="151"/>
      <c r="DY101" s="151"/>
      <c r="DZ101" s="151"/>
      <c r="EA101" s="237"/>
      <c r="EB101" s="151"/>
      <c r="EC101" s="151"/>
      <c r="ED101" s="151"/>
      <c r="EE101" s="152"/>
      <c r="EF101" s="150"/>
      <c r="EG101" s="151"/>
      <c r="EH101" s="151"/>
      <c r="EI101" s="151"/>
      <c r="EJ101" s="150"/>
      <c r="EK101" s="151"/>
      <c r="EL101" s="151"/>
      <c r="EM101" s="151"/>
      <c r="EN101" s="150"/>
      <c r="EO101" s="151"/>
      <c r="EP101" s="151"/>
      <c r="EQ101" s="151"/>
      <c r="ER101" s="154"/>
      <c r="ES101" s="151"/>
      <c r="ET101" s="151"/>
      <c r="EU101" s="151"/>
      <c r="EV101" s="152"/>
      <c r="EW101" s="150"/>
      <c r="EX101" s="151"/>
      <c r="EY101" s="151"/>
      <c r="EZ101" s="154"/>
      <c r="FA101" s="151"/>
      <c r="FB101" s="151"/>
      <c r="FC101" s="151"/>
      <c r="FD101" s="151"/>
      <c r="FE101" s="151"/>
      <c r="FF101" s="237"/>
      <c r="FG101" s="151"/>
      <c r="FH101" s="151"/>
      <c r="FI101" s="154"/>
      <c r="FJ101" s="151"/>
      <c r="FK101" s="152"/>
      <c r="FL101" s="151"/>
      <c r="FM101" s="151"/>
      <c r="FN101" s="237"/>
      <c r="FO101" s="151"/>
      <c r="FP101" s="151"/>
      <c r="FQ101" s="151"/>
      <c r="FR101" s="154"/>
      <c r="FS101" s="151"/>
      <c r="FT101" s="151"/>
      <c r="FU101" s="151"/>
      <c r="FV101" s="151"/>
      <c r="FW101" s="150"/>
      <c r="FX101" s="151"/>
      <c r="FY101" s="151"/>
      <c r="FZ101" s="154"/>
      <c r="GA101" s="150"/>
      <c r="GB101" s="151"/>
      <c r="GC101" s="151"/>
      <c r="GD101" s="151"/>
      <c r="GE101" s="156"/>
      <c r="GJ101" s="124"/>
      <c r="GM101" s="126"/>
      <c r="GS101" s="124"/>
      <c r="GV101" s="126"/>
      <c r="HA101" s="124"/>
      <c r="HE101" s="126"/>
      <c r="HJ101" s="124"/>
      <c r="HM101" s="126"/>
      <c r="HS101" s="124"/>
      <c r="HV101" s="126"/>
      <c r="IA101" s="124"/>
      <c r="IE101" s="125"/>
      <c r="IF101" s="124"/>
      <c r="II101" s="126"/>
      <c r="IN101" s="124"/>
      <c r="IR101" s="126"/>
      <c r="IW101" s="124"/>
      <c r="IZ101" s="126"/>
      <c r="JF101" s="124"/>
      <c r="JI101" s="126"/>
      <c r="JN101" s="124"/>
      <c r="JR101" s="126"/>
      <c r="JW101" s="124"/>
      <c r="JZ101" s="126"/>
      <c r="KD101" s="141"/>
      <c r="KE101" s="124"/>
      <c r="KH101" s="126"/>
    </row>
    <row r="102" spans="2:294" ht="18.600000000000001">
      <c r="B102" s="127"/>
      <c r="C102" s="234" t="s">
        <v>167</v>
      </c>
      <c r="D102" s="129"/>
      <c r="E102" s="130"/>
      <c r="F102" s="131"/>
      <c r="G102" s="131"/>
      <c r="H102" s="131"/>
      <c r="I102" s="132"/>
      <c r="J102" s="133"/>
      <c r="K102" s="131"/>
      <c r="L102" s="131"/>
      <c r="M102" s="132"/>
      <c r="N102" s="134"/>
      <c r="O102" s="131"/>
      <c r="P102" s="131"/>
      <c r="Q102" s="132"/>
      <c r="R102" s="134"/>
      <c r="S102" s="131"/>
      <c r="T102" s="131"/>
      <c r="U102" s="132"/>
      <c r="V102" s="130"/>
      <c r="W102" s="131"/>
      <c r="X102" s="131"/>
      <c r="Y102" s="131"/>
      <c r="Z102" s="132"/>
      <c r="AA102" s="134"/>
      <c r="AB102" s="131"/>
      <c r="AC102" s="131"/>
      <c r="AD102" s="132"/>
      <c r="AE102" s="134"/>
      <c r="AF102" s="131"/>
      <c r="AG102" s="131"/>
      <c r="AH102" s="132"/>
      <c r="AI102" s="134"/>
      <c r="AJ102" s="131"/>
      <c r="AK102" s="135"/>
      <c r="AL102" s="131"/>
      <c r="AM102" s="132"/>
      <c r="AN102" s="134"/>
      <c r="AO102" s="131"/>
      <c r="AP102" s="131"/>
      <c r="AQ102" s="132"/>
      <c r="AR102" s="134"/>
      <c r="AS102" s="131"/>
      <c r="AT102" s="131"/>
      <c r="AU102" s="131"/>
      <c r="AV102" s="132"/>
      <c r="AW102" s="134"/>
      <c r="AX102" s="131"/>
      <c r="AY102" s="131"/>
      <c r="AZ102" s="132"/>
      <c r="BA102" s="134"/>
      <c r="BB102" s="131"/>
      <c r="BC102" s="131"/>
      <c r="BD102" s="132"/>
      <c r="BE102" s="134"/>
      <c r="BF102" s="136"/>
      <c r="BG102" s="136"/>
      <c r="BH102" s="131"/>
      <c r="BI102" s="132"/>
      <c r="BJ102" s="133"/>
      <c r="BK102" s="135"/>
      <c r="BL102" s="131"/>
      <c r="BM102" s="136"/>
      <c r="BN102" s="134"/>
      <c r="BO102" s="131"/>
      <c r="BP102" s="131"/>
      <c r="BQ102" s="132"/>
      <c r="BR102" s="133"/>
      <c r="BS102" s="131"/>
      <c r="BT102" s="131"/>
      <c r="BU102" s="131"/>
      <c r="BV102" s="136"/>
      <c r="BW102" s="134"/>
      <c r="BX102" s="131"/>
      <c r="BY102" s="131"/>
      <c r="BZ102" s="132"/>
      <c r="CA102" s="133"/>
      <c r="CB102" s="131"/>
      <c r="CC102" s="131"/>
      <c r="CD102" s="132"/>
      <c r="CE102" s="137"/>
      <c r="CF102" s="133"/>
      <c r="CG102" s="138"/>
      <c r="CH102" s="138"/>
      <c r="CI102" s="139"/>
      <c r="CJ102" s="134"/>
      <c r="CK102" s="138"/>
      <c r="CL102" s="138"/>
      <c r="CM102" s="140"/>
      <c r="CR102" s="124"/>
      <c r="CV102" s="125"/>
      <c r="CW102" s="124"/>
      <c r="CZ102" s="126"/>
      <c r="DA102" s="124"/>
      <c r="DE102" s="124"/>
      <c r="DJ102" s="124"/>
      <c r="DK102" s="125"/>
      <c r="DM102" s="126"/>
      <c r="DN102" s="124"/>
      <c r="DS102" s="124"/>
      <c r="EA102" s="124"/>
      <c r="EE102" s="125"/>
      <c r="EF102" s="124"/>
      <c r="EJ102" s="124"/>
      <c r="EN102" s="124"/>
      <c r="ER102" s="126"/>
      <c r="EV102" s="125"/>
      <c r="EW102" s="124"/>
      <c r="EZ102" s="126"/>
      <c r="FF102" s="124"/>
      <c r="FI102" s="126"/>
      <c r="FK102" s="125"/>
      <c r="FN102" s="124"/>
      <c r="FR102" s="126"/>
      <c r="FW102" s="124"/>
      <c r="FZ102" s="126"/>
      <c r="GA102" s="124"/>
      <c r="GE102" s="141"/>
      <c r="GJ102" s="124"/>
      <c r="GM102" s="126"/>
      <c r="GS102" s="124"/>
      <c r="GV102" s="126"/>
      <c r="HA102" s="124"/>
      <c r="HE102" s="126"/>
      <c r="HJ102" s="124"/>
      <c r="HM102" s="126"/>
      <c r="HS102" s="124"/>
      <c r="HV102" s="126"/>
      <c r="IA102" s="124"/>
      <c r="IE102" s="125"/>
      <c r="IF102" s="124"/>
      <c r="II102" s="126"/>
      <c r="IN102" s="124"/>
      <c r="IR102" s="126"/>
      <c r="IW102" s="124"/>
      <c r="IZ102" s="126"/>
      <c r="JF102" s="124"/>
      <c r="JI102" s="126"/>
      <c r="JN102" s="124"/>
      <c r="JR102" s="126"/>
      <c r="JW102" s="124"/>
      <c r="JZ102" s="126"/>
      <c r="KD102" s="141"/>
      <c r="KE102" s="124"/>
      <c r="KH102" s="126"/>
    </row>
    <row r="103" spans="2:294" ht="18.600000000000001">
      <c r="B103" s="127"/>
      <c r="C103" s="241" t="s">
        <v>197</v>
      </c>
      <c r="D103" s="129"/>
      <c r="E103" s="130"/>
      <c r="F103" s="131"/>
      <c r="G103" s="131"/>
      <c r="H103" s="131"/>
      <c r="I103" s="132"/>
      <c r="J103" s="133"/>
      <c r="K103" s="131"/>
      <c r="L103" s="131"/>
      <c r="M103" s="132"/>
      <c r="N103" s="134"/>
      <c r="O103" s="131"/>
      <c r="P103" s="131"/>
      <c r="Q103" s="132"/>
      <c r="R103" s="134"/>
      <c r="S103" s="131"/>
      <c r="T103" s="131"/>
      <c r="U103" s="132"/>
      <c r="V103" s="130"/>
      <c r="W103" s="131"/>
      <c r="X103" s="131"/>
      <c r="Y103" s="131"/>
      <c r="Z103" s="132"/>
      <c r="AA103" s="134"/>
      <c r="AB103" s="131"/>
      <c r="AC103" s="131"/>
      <c r="AD103" s="132"/>
      <c r="AE103" s="134"/>
      <c r="AF103" s="131"/>
      <c r="AG103" s="131"/>
      <c r="AH103" s="132"/>
      <c r="AI103" s="134"/>
      <c r="AJ103" s="131"/>
      <c r="AK103" s="135"/>
      <c r="AL103" s="131"/>
      <c r="AM103" s="132"/>
      <c r="AN103" s="134"/>
      <c r="AO103" s="131"/>
      <c r="AP103" s="131"/>
      <c r="AQ103" s="132"/>
      <c r="AR103" s="134"/>
      <c r="AS103" s="131"/>
      <c r="AT103" s="131"/>
      <c r="AU103" s="131"/>
      <c r="AV103" s="132"/>
      <c r="AW103" s="134"/>
      <c r="AX103" s="131"/>
      <c r="AY103" s="131"/>
      <c r="AZ103" s="132"/>
      <c r="BA103" s="134"/>
      <c r="BB103" s="131"/>
      <c r="BC103" s="131"/>
      <c r="BD103" s="132"/>
      <c r="BE103" s="134"/>
      <c r="BF103" s="136"/>
      <c r="BG103" s="136"/>
      <c r="BH103" s="131"/>
      <c r="BI103" s="132"/>
      <c r="BJ103" s="133"/>
      <c r="BK103" s="135"/>
      <c r="BL103" s="131"/>
      <c r="BM103" s="136"/>
      <c r="BN103" s="134"/>
      <c r="BO103" s="131"/>
      <c r="BP103" s="131"/>
      <c r="BQ103" s="132"/>
      <c r="BR103" s="133"/>
      <c r="BS103" s="131"/>
      <c r="BT103" s="131"/>
      <c r="BU103" s="131"/>
      <c r="BV103" s="136"/>
      <c r="BW103" s="134"/>
      <c r="BX103" s="131"/>
      <c r="BY103" s="131"/>
      <c r="BZ103" s="132"/>
      <c r="CA103" s="133"/>
      <c r="CB103" s="131"/>
      <c r="CC103" s="131"/>
      <c r="CD103" s="132"/>
      <c r="CE103" s="137"/>
      <c r="CF103" s="133"/>
      <c r="CG103" s="138"/>
      <c r="CH103" s="138"/>
      <c r="CI103" s="139"/>
      <c r="CJ103" s="134"/>
      <c r="CK103" s="138"/>
      <c r="CL103" s="138"/>
      <c r="CM103" s="140"/>
      <c r="CR103" s="124"/>
      <c r="CV103" s="125"/>
      <c r="CW103" s="124"/>
      <c r="CZ103" s="126"/>
      <c r="DA103" s="124"/>
      <c r="DE103" s="124"/>
      <c r="DJ103" s="124"/>
      <c r="DK103" s="125"/>
      <c r="DM103" s="126"/>
      <c r="DN103" s="124"/>
      <c r="DS103" s="124"/>
      <c r="EA103" s="124"/>
      <c r="EE103" s="125"/>
      <c r="EF103" s="124"/>
      <c r="EJ103" s="124"/>
      <c r="EN103" s="124"/>
      <c r="ER103" s="126"/>
      <c r="EV103" s="125"/>
      <c r="EW103" s="124"/>
      <c r="EZ103" s="126"/>
      <c r="FF103" s="124"/>
      <c r="FI103" s="126"/>
      <c r="FK103" s="125"/>
      <c r="FN103" s="124"/>
      <c r="FR103" s="126"/>
      <c r="FW103" s="124"/>
      <c r="FZ103" s="126"/>
      <c r="GA103" s="124"/>
      <c r="GE103" s="141"/>
      <c r="GJ103" s="124"/>
      <c r="GM103" s="126"/>
      <c r="GS103" s="124"/>
      <c r="GV103" s="126"/>
      <c r="HA103" s="124"/>
      <c r="HE103" s="126"/>
      <c r="HJ103" s="124"/>
      <c r="HM103" s="126"/>
      <c r="HS103" s="124"/>
      <c r="HV103" s="126"/>
      <c r="IA103" s="124"/>
      <c r="IE103" s="125"/>
      <c r="IF103" s="124"/>
      <c r="II103" s="126"/>
      <c r="IN103" s="124"/>
      <c r="IR103" s="126"/>
      <c r="IW103" s="124"/>
      <c r="IZ103" s="126"/>
      <c r="JF103" s="124"/>
      <c r="JI103" s="126"/>
      <c r="JN103" s="124"/>
      <c r="JR103" s="126"/>
      <c r="JW103" s="124"/>
      <c r="JZ103" s="126"/>
      <c r="KD103" s="141"/>
      <c r="KE103" s="124"/>
      <c r="KH103" s="126"/>
    </row>
    <row r="104" spans="2:294" ht="18.600000000000001">
      <c r="B104" s="127"/>
      <c r="C104" s="239"/>
      <c r="D104" s="129"/>
      <c r="E104" s="130"/>
      <c r="F104" s="131"/>
      <c r="G104" s="131"/>
      <c r="H104" s="131"/>
      <c r="I104" s="132"/>
      <c r="J104" s="133"/>
      <c r="K104" s="131"/>
      <c r="L104" s="131"/>
      <c r="M104" s="132"/>
      <c r="N104" s="134"/>
      <c r="O104" s="131"/>
      <c r="P104" s="131"/>
      <c r="Q104" s="132"/>
      <c r="R104" s="134"/>
      <c r="S104" s="131"/>
      <c r="T104" s="131"/>
      <c r="U104" s="132"/>
      <c r="V104" s="130"/>
      <c r="W104" s="131"/>
      <c r="X104" s="131"/>
      <c r="Y104" s="131"/>
      <c r="Z104" s="132"/>
      <c r="AA104" s="134"/>
      <c r="AB104" s="131"/>
      <c r="AC104" s="131"/>
      <c r="AD104" s="132"/>
      <c r="AE104" s="134"/>
      <c r="AF104" s="131"/>
      <c r="AG104" s="131"/>
      <c r="AH104" s="132"/>
      <c r="AI104" s="134"/>
      <c r="AJ104" s="131"/>
      <c r="AK104" s="135"/>
      <c r="AL104" s="131"/>
      <c r="AM104" s="132"/>
      <c r="AN104" s="134"/>
      <c r="AO104" s="131"/>
      <c r="AP104" s="131"/>
      <c r="AQ104" s="132"/>
      <c r="AR104" s="134"/>
      <c r="AS104" s="131"/>
      <c r="AT104" s="131"/>
      <c r="AU104" s="131"/>
      <c r="AV104" s="132"/>
      <c r="AW104" s="134"/>
      <c r="AX104" s="131"/>
      <c r="AY104" s="131"/>
      <c r="AZ104" s="132"/>
      <c r="BA104" s="134"/>
      <c r="BB104" s="131"/>
      <c r="BC104" s="131"/>
      <c r="BD104" s="132"/>
      <c r="BE104" s="134"/>
      <c r="BF104" s="136"/>
      <c r="BG104" s="136"/>
      <c r="BH104" s="131"/>
      <c r="BI104" s="132"/>
      <c r="BJ104" s="133"/>
      <c r="BK104" s="135"/>
      <c r="BL104" s="131"/>
      <c r="BM104" s="136"/>
      <c r="BN104" s="134"/>
      <c r="BO104" s="131"/>
      <c r="BP104" s="131"/>
      <c r="BQ104" s="132"/>
      <c r="BR104" s="133"/>
      <c r="BS104" s="131"/>
      <c r="BT104" s="131"/>
      <c r="BU104" s="131"/>
      <c r="BV104" s="136"/>
      <c r="BW104" s="134"/>
      <c r="BX104" s="131"/>
      <c r="BY104" s="131"/>
      <c r="BZ104" s="132"/>
      <c r="CA104" s="133"/>
      <c r="CB104" s="131"/>
      <c r="CC104" s="131"/>
      <c r="CD104" s="132"/>
      <c r="CE104" s="137"/>
      <c r="CF104" s="133"/>
      <c r="CG104" s="138"/>
      <c r="CH104" s="138"/>
      <c r="CI104" s="139"/>
      <c r="CJ104" s="134"/>
      <c r="CK104" s="138"/>
      <c r="CL104" s="138"/>
      <c r="CM104" s="140"/>
      <c r="CR104" s="124"/>
      <c r="CV104" s="125"/>
      <c r="CW104" s="124"/>
      <c r="CZ104" s="126"/>
      <c r="DA104" s="124"/>
      <c r="DE104" s="124"/>
      <c r="DJ104" s="124"/>
      <c r="DK104" s="125"/>
      <c r="DM104" s="126"/>
      <c r="DN104" s="124"/>
      <c r="DS104" s="124"/>
      <c r="EA104" s="124"/>
      <c r="EE104" s="125"/>
      <c r="EF104" s="124"/>
      <c r="EJ104" s="124"/>
      <c r="EN104" s="124"/>
      <c r="ER104" s="126"/>
      <c r="EV104" s="125"/>
      <c r="EW104" s="124"/>
      <c r="EZ104" s="126"/>
      <c r="FF104" s="124"/>
      <c r="FI104" s="126"/>
      <c r="FK104" s="125"/>
      <c r="FN104" s="124"/>
      <c r="FR104" s="126"/>
      <c r="FW104" s="124"/>
      <c r="FZ104" s="126"/>
      <c r="GA104" s="124"/>
      <c r="GE104" s="141"/>
      <c r="GJ104" s="124"/>
      <c r="GM104" s="126"/>
      <c r="GS104" s="124"/>
      <c r="GV104" s="126"/>
      <c r="HA104" s="124"/>
      <c r="HE104" s="126"/>
      <c r="HJ104" s="124"/>
      <c r="HM104" s="126"/>
      <c r="HS104" s="124"/>
      <c r="HV104" s="126"/>
      <c r="IA104" s="124"/>
      <c r="IE104" s="125"/>
      <c r="IF104" s="124"/>
      <c r="II104" s="126"/>
      <c r="IN104" s="124"/>
      <c r="IR104" s="126"/>
      <c r="IW104" s="124"/>
      <c r="IZ104" s="126"/>
      <c r="JF104" s="124"/>
      <c r="JI104" s="126"/>
      <c r="JN104" s="124"/>
      <c r="JR104" s="126"/>
      <c r="JW104" s="124"/>
      <c r="JZ104" s="126"/>
      <c r="KD104" s="141"/>
      <c r="KE104" s="124"/>
      <c r="KH104" s="126"/>
    </row>
    <row r="105" spans="2:294" ht="37.799999999999997" thickBot="1">
      <c r="B105" s="177"/>
      <c r="C105" s="240" t="s">
        <v>199</v>
      </c>
      <c r="D105" s="158"/>
      <c r="E105" s="159"/>
      <c r="F105" s="160"/>
      <c r="G105" s="160"/>
      <c r="H105" s="160"/>
      <c r="I105" s="161"/>
      <c r="J105" s="162"/>
      <c r="K105" s="160"/>
      <c r="L105" s="160"/>
      <c r="M105" s="161"/>
      <c r="N105" s="163"/>
      <c r="O105" s="160"/>
      <c r="P105" s="160"/>
      <c r="Q105" s="161"/>
      <c r="R105" s="163"/>
      <c r="S105" s="160"/>
      <c r="T105" s="160"/>
      <c r="U105" s="161"/>
      <c r="V105" s="159"/>
      <c r="W105" s="160"/>
      <c r="X105" s="160"/>
      <c r="Y105" s="160"/>
      <c r="Z105" s="161"/>
      <c r="AA105" s="163"/>
      <c r="AB105" s="160"/>
      <c r="AC105" s="160"/>
      <c r="AD105" s="161"/>
      <c r="AE105" s="163"/>
      <c r="AF105" s="160"/>
      <c r="AG105" s="160"/>
      <c r="AH105" s="161"/>
      <c r="AI105" s="163"/>
      <c r="AJ105" s="160"/>
      <c r="AK105" s="164"/>
      <c r="AL105" s="160"/>
      <c r="AM105" s="161"/>
      <c r="AN105" s="163"/>
      <c r="AO105" s="160"/>
      <c r="AP105" s="160"/>
      <c r="AQ105" s="161"/>
      <c r="AR105" s="163"/>
      <c r="AS105" s="160"/>
      <c r="AT105" s="160"/>
      <c r="AU105" s="160"/>
      <c r="AV105" s="161"/>
      <c r="AW105" s="163"/>
      <c r="AX105" s="160"/>
      <c r="AY105" s="160"/>
      <c r="AZ105" s="161"/>
      <c r="BA105" s="163"/>
      <c r="BB105" s="160"/>
      <c r="BC105" s="160"/>
      <c r="BD105" s="161"/>
      <c r="BE105" s="163"/>
      <c r="BF105" s="165"/>
      <c r="BG105" s="165"/>
      <c r="BH105" s="160"/>
      <c r="BI105" s="161"/>
      <c r="BJ105" s="162"/>
      <c r="BK105" s="164"/>
      <c r="BL105" s="160"/>
      <c r="BM105" s="165"/>
      <c r="BN105" s="163"/>
      <c r="BO105" s="160"/>
      <c r="BP105" s="160"/>
      <c r="BQ105" s="161"/>
      <c r="BR105" s="162"/>
      <c r="BS105" s="160"/>
      <c r="BT105" s="160"/>
      <c r="BU105" s="160"/>
      <c r="BV105" s="165"/>
      <c r="BW105" s="163"/>
      <c r="BX105" s="160"/>
      <c r="BY105" s="160"/>
      <c r="BZ105" s="161"/>
      <c r="CA105" s="162"/>
      <c r="CB105" s="160"/>
      <c r="CC105" s="160"/>
      <c r="CD105" s="161"/>
      <c r="CE105" s="166"/>
      <c r="CF105" s="162"/>
      <c r="CG105" s="167"/>
      <c r="CH105" s="167"/>
      <c r="CI105" s="168"/>
      <c r="CJ105" s="163"/>
      <c r="CK105" s="167"/>
      <c r="CL105" s="167"/>
      <c r="CM105" s="169"/>
      <c r="CN105" s="145"/>
      <c r="CO105" s="145"/>
      <c r="CP105" s="145"/>
      <c r="CQ105" s="145"/>
      <c r="CR105" s="146"/>
      <c r="CS105" s="145"/>
      <c r="CT105" s="145"/>
      <c r="CU105" s="145"/>
      <c r="CV105" s="147"/>
      <c r="CW105" s="146"/>
      <c r="CX105" s="145"/>
      <c r="CY105" s="145"/>
      <c r="CZ105" s="148"/>
      <c r="DA105" s="146"/>
      <c r="DB105" s="145"/>
      <c r="DC105" s="145"/>
      <c r="DD105" s="145"/>
      <c r="DE105" s="146"/>
      <c r="DF105" s="145"/>
      <c r="DG105" s="145"/>
      <c r="DH105" s="145"/>
      <c r="DI105" s="145"/>
      <c r="DJ105" s="146"/>
      <c r="DK105" s="147"/>
      <c r="DL105" s="145"/>
      <c r="DM105" s="148"/>
      <c r="DN105" s="146"/>
      <c r="DO105" s="145"/>
      <c r="DP105" s="145"/>
      <c r="DQ105" s="145"/>
      <c r="DR105" s="145"/>
      <c r="DS105" s="146"/>
      <c r="DT105" s="145"/>
      <c r="DU105" s="145"/>
      <c r="DV105" s="145"/>
      <c r="DW105" s="145"/>
      <c r="DX105" s="145"/>
      <c r="DY105" s="145"/>
      <c r="DZ105" s="145"/>
      <c r="EA105" s="146"/>
      <c r="EB105" s="145"/>
      <c r="EC105" s="145"/>
      <c r="ED105" s="145"/>
      <c r="EE105" s="147"/>
      <c r="EF105" s="146"/>
      <c r="EG105" s="145"/>
      <c r="EH105" s="145"/>
      <c r="EI105" s="145"/>
      <c r="EJ105" s="146"/>
      <c r="EK105" s="145"/>
      <c r="EL105" s="145"/>
      <c r="EM105" s="145"/>
      <c r="EN105" s="146"/>
      <c r="EO105" s="145"/>
      <c r="EP105" s="145"/>
      <c r="EQ105" s="145"/>
      <c r="ER105" s="148"/>
      <c r="ES105" s="145"/>
      <c r="ET105" s="145"/>
      <c r="EU105" s="145"/>
      <c r="EV105" s="147"/>
      <c r="EW105" s="146"/>
      <c r="EX105" s="145"/>
      <c r="EY105" s="145"/>
      <c r="EZ105" s="148"/>
      <c r="FA105" s="145"/>
      <c r="FB105" s="145"/>
      <c r="FC105" s="145"/>
      <c r="FD105" s="145"/>
      <c r="FE105" s="145"/>
      <c r="FF105" s="146"/>
      <c r="FG105" s="145"/>
      <c r="FH105" s="145"/>
      <c r="FI105" s="148"/>
      <c r="FJ105" s="145"/>
      <c r="FK105" s="147"/>
      <c r="FL105" s="145"/>
      <c r="FM105" s="145"/>
      <c r="FN105" s="146"/>
      <c r="FO105" s="145"/>
      <c r="FP105" s="145"/>
      <c r="FQ105" s="145"/>
      <c r="FR105" s="148"/>
      <c r="FS105" s="145"/>
      <c r="FT105" s="145"/>
      <c r="FU105" s="145"/>
      <c r="FV105" s="145"/>
      <c r="FW105" s="146"/>
      <c r="FX105" s="145"/>
      <c r="FY105" s="145"/>
      <c r="FZ105" s="148"/>
      <c r="GA105" s="146"/>
      <c r="GB105" s="145"/>
      <c r="GC105" s="145"/>
      <c r="GD105" s="145"/>
      <c r="GE105" s="149"/>
      <c r="GF105" s="145"/>
      <c r="GG105" s="145"/>
      <c r="GH105" s="145"/>
      <c r="GI105" s="145"/>
      <c r="GJ105" s="146"/>
      <c r="GK105" s="145"/>
      <c r="GL105" s="145"/>
      <c r="GM105" s="148"/>
      <c r="GN105" s="145"/>
      <c r="GO105" s="145"/>
      <c r="GP105" s="145"/>
      <c r="GQ105" s="145"/>
      <c r="GR105" s="145"/>
      <c r="GS105" s="146"/>
      <c r="GT105" s="145"/>
      <c r="GU105" s="145"/>
      <c r="GV105" s="148"/>
      <c r="GW105" s="145"/>
      <c r="GX105" s="145"/>
      <c r="GY105" s="145"/>
      <c r="GZ105" s="145"/>
      <c r="HA105" s="146"/>
      <c r="HB105" s="145"/>
      <c r="HC105" s="145"/>
      <c r="HD105" s="145"/>
      <c r="HE105" s="148"/>
      <c r="HF105" s="145"/>
      <c r="HG105" s="145"/>
      <c r="HH105" s="145"/>
      <c r="HI105" s="145"/>
      <c r="HJ105" s="146"/>
      <c r="HK105" s="145"/>
      <c r="HL105" s="145"/>
      <c r="HM105" s="148"/>
      <c r="HN105" s="145"/>
      <c r="HO105" s="145"/>
      <c r="HP105" s="145"/>
      <c r="HQ105" s="145"/>
      <c r="HR105" s="145"/>
      <c r="HS105" s="146"/>
      <c r="HT105" s="145"/>
      <c r="HU105" s="145"/>
      <c r="HV105" s="148"/>
      <c r="HW105" s="145"/>
      <c r="HX105" s="145"/>
      <c r="HY105" s="145"/>
      <c r="HZ105" s="145"/>
      <c r="IA105" s="146"/>
      <c r="IB105" s="145"/>
      <c r="IC105" s="145"/>
      <c r="ID105" s="145"/>
      <c r="IE105" s="147"/>
      <c r="IF105" s="146"/>
      <c r="IG105" s="145"/>
      <c r="IH105" s="145"/>
      <c r="II105" s="148"/>
      <c r="IJ105" s="145"/>
      <c r="IK105" s="145"/>
      <c r="IL105" s="145"/>
      <c r="IM105" s="145"/>
      <c r="IN105" s="146"/>
      <c r="IO105" s="145"/>
      <c r="IP105" s="145"/>
      <c r="IQ105" s="145"/>
      <c r="IR105" s="148"/>
      <c r="IS105" s="145"/>
      <c r="IT105" s="145"/>
      <c r="IU105" s="145"/>
      <c r="IV105" s="145"/>
      <c r="IW105" s="146"/>
      <c r="IX105" s="145"/>
      <c r="IY105" s="145"/>
      <c r="IZ105" s="148"/>
      <c r="JA105" s="145"/>
      <c r="JB105" s="145"/>
      <c r="JC105" s="145"/>
      <c r="JD105" s="145"/>
      <c r="JE105" s="145"/>
      <c r="JF105" s="146"/>
      <c r="JG105" s="145"/>
      <c r="JH105" s="145"/>
      <c r="JI105" s="148"/>
      <c r="JJ105" s="145"/>
      <c r="JK105" s="145"/>
      <c r="JL105" s="145"/>
      <c r="JM105" s="145"/>
      <c r="JN105" s="146"/>
      <c r="JO105" s="145"/>
      <c r="JP105" s="145"/>
      <c r="JQ105" s="145"/>
      <c r="JR105" s="148"/>
      <c r="JS105" s="145"/>
      <c r="JT105" s="145"/>
      <c r="JU105" s="145"/>
      <c r="JV105" s="145"/>
      <c r="JW105" s="146"/>
      <c r="JX105" s="145"/>
      <c r="JY105" s="145"/>
      <c r="JZ105" s="148"/>
      <c r="KA105" s="145"/>
      <c r="KB105" s="145"/>
      <c r="KC105" s="145"/>
      <c r="KD105" s="149"/>
      <c r="KE105" s="146"/>
      <c r="KF105" s="145"/>
      <c r="KG105" s="145"/>
      <c r="KH105" s="148"/>
    </row>
    <row r="106" spans="2:294" ht="18.600000000000001">
      <c r="B106" s="127"/>
      <c r="C106" s="242"/>
      <c r="D106" s="129"/>
      <c r="E106" s="130"/>
      <c r="F106" s="131"/>
      <c r="G106" s="131"/>
      <c r="H106" s="131"/>
      <c r="I106" s="132"/>
      <c r="J106" s="133"/>
      <c r="K106" s="131"/>
      <c r="L106" s="131"/>
      <c r="M106" s="132"/>
      <c r="N106" s="134"/>
      <c r="O106" s="131"/>
      <c r="P106" s="131"/>
      <c r="Q106" s="132"/>
      <c r="R106" s="134"/>
      <c r="S106" s="131"/>
      <c r="T106" s="131"/>
      <c r="U106" s="132"/>
      <c r="V106" s="130"/>
      <c r="W106" s="131"/>
      <c r="X106" s="131"/>
      <c r="Y106" s="131"/>
      <c r="Z106" s="132"/>
      <c r="AA106" s="134"/>
      <c r="AB106" s="131"/>
      <c r="AC106" s="131"/>
      <c r="AD106" s="132"/>
      <c r="AE106" s="134"/>
      <c r="AF106" s="131"/>
      <c r="AG106" s="131"/>
      <c r="AH106" s="132"/>
      <c r="AI106" s="134"/>
      <c r="AJ106" s="131"/>
      <c r="AK106" s="135"/>
      <c r="AL106" s="131"/>
      <c r="AM106" s="132"/>
      <c r="AN106" s="134"/>
      <c r="AO106" s="131"/>
      <c r="AP106" s="131"/>
      <c r="AQ106" s="132"/>
      <c r="AR106" s="134"/>
      <c r="AS106" s="131"/>
      <c r="AT106" s="131"/>
      <c r="AU106" s="131"/>
      <c r="AV106" s="132"/>
      <c r="AW106" s="134"/>
      <c r="AX106" s="131"/>
      <c r="AY106" s="131"/>
      <c r="AZ106" s="132"/>
      <c r="BA106" s="134"/>
      <c r="BB106" s="131"/>
      <c r="BC106" s="131"/>
      <c r="BD106" s="132"/>
      <c r="BE106" s="134"/>
      <c r="BF106" s="136"/>
      <c r="BG106" s="136"/>
      <c r="BH106" s="131"/>
      <c r="BI106" s="132"/>
      <c r="BJ106" s="133"/>
      <c r="BK106" s="135"/>
      <c r="BL106" s="131"/>
      <c r="BM106" s="136"/>
      <c r="BN106" s="134"/>
      <c r="BO106" s="131"/>
      <c r="BP106" s="131"/>
      <c r="BQ106" s="132"/>
      <c r="BR106" s="133"/>
      <c r="BS106" s="131"/>
      <c r="BT106" s="131"/>
      <c r="BU106" s="131"/>
      <c r="BV106" s="136"/>
      <c r="BW106" s="134"/>
      <c r="BX106" s="131"/>
      <c r="BY106" s="131"/>
      <c r="BZ106" s="132"/>
      <c r="CA106" s="133"/>
      <c r="CB106" s="131"/>
      <c r="CC106" s="131"/>
      <c r="CD106" s="132"/>
      <c r="CE106" s="137"/>
      <c r="CF106" s="133"/>
      <c r="CG106" s="138"/>
      <c r="CH106" s="138"/>
      <c r="CI106" s="139"/>
      <c r="CJ106" s="134"/>
      <c r="CK106" s="138"/>
      <c r="CL106" s="138"/>
      <c r="CM106" s="140"/>
      <c r="CR106" s="124"/>
      <c r="CV106" s="125"/>
      <c r="CW106" s="124"/>
      <c r="CX106" s="170"/>
      <c r="CZ106" s="126"/>
      <c r="DA106" s="171"/>
      <c r="DB106" s="172"/>
      <c r="DE106" s="124"/>
      <c r="DJ106" s="124"/>
      <c r="DK106" s="125"/>
      <c r="DM106" s="126"/>
      <c r="DN106" s="124"/>
      <c r="DS106" s="124"/>
      <c r="DT106" s="172"/>
      <c r="EA106" s="124"/>
      <c r="EE106" s="125"/>
      <c r="EF106" s="124"/>
      <c r="EJ106" s="124"/>
      <c r="EN106" s="124"/>
      <c r="ER106" s="126"/>
      <c r="EV106" s="125"/>
      <c r="EW106" s="124"/>
      <c r="EZ106" s="126"/>
      <c r="FF106" s="124"/>
      <c r="FI106" s="126"/>
      <c r="FK106" s="125"/>
      <c r="FN106" s="124"/>
      <c r="FR106" s="126"/>
      <c r="FW106" s="124"/>
      <c r="FZ106" s="126"/>
      <c r="GA106" s="124"/>
      <c r="GE106" s="141"/>
      <c r="GJ106" s="124"/>
      <c r="GM106" s="126"/>
      <c r="GS106" s="124"/>
      <c r="GV106" s="126"/>
      <c r="HA106" s="124"/>
      <c r="HE106" s="126"/>
      <c r="HJ106" s="124"/>
      <c r="HM106" s="126"/>
      <c r="HS106" s="124"/>
      <c r="HV106" s="126"/>
      <c r="IA106" s="124"/>
      <c r="IE106" s="125"/>
      <c r="IF106" s="124"/>
      <c r="II106" s="126"/>
      <c r="IN106" s="124"/>
      <c r="IR106" s="126"/>
      <c r="IW106" s="124"/>
      <c r="IZ106" s="126"/>
      <c r="JF106" s="124"/>
      <c r="JI106" s="126"/>
      <c r="JN106" s="124"/>
      <c r="JR106" s="126"/>
      <c r="JW106" s="124"/>
      <c r="JZ106" s="126"/>
      <c r="KD106" s="141"/>
      <c r="KE106" s="124"/>
      <c r="KH106" s="126"/>
    </row>
    <row r="107" spans="2:294" ht="18.600000000000001">
      <c r="B107" s="127"/>
      <c r="C107" s="242" t="s">
        <v>200</v>
      </c>
      <c r="D107" s="129" t="s">
        <v>165</v>
      </c>
      <c r="E107" s="130"/>
      <c r="F107" s="131"/>
      <c r="G107" s="131"/>
      <c r="H107" s="131"/>
      <c r="I107" s="132"/>
      <c r="J107" s="133"/>
      <c r="K107" s="131"/>
      <c r="L107" s="131"/>
      <c r="M107" s="132"/>
      <c r="N107" s="134"/>
      <c r="O107" s="131"/>
      <c r="P107" s="131"/>
      <c r="Q107" s="132"/>
      <c r="R107" s="134"/>
      <c r="S107" s="131"/>
      <c r="T107" s="131"/>
      <c r="U107" s="132"/>
      <c r="V107" s="130"/>
      <c r="W107" s="131"/>
      <c r="X107" s="131"/>
      <c r="Y107" s="131"/>
      <c r="Z107" s="132"/>
      <c r="AA107" s="134"/>
      <c r="AB107" s="131"/>
      <c r="AC107" s="131"/>
      <c r="AD107" s="132"/>
      <c r="AE107" s="134"/>
      <c r="AF107" s="131"/>
      <c r="AG107" s="131"/>
      <c r="AH107" s="132"/>
      <c r="AI107" s="134"/>
      <c r="AJ107" s="131"/>
      <c r="AK107" s="135"/>
      <c r="AL107" s="131"/>
      <c r="AM107" s="132"/>
      <c r="AN107" s="134"/>
      <c r="AO107" s="131"/>
      <c r="AP107" s="131"/>
      <c r="AQ107" s="132"/>
      <c r="AR107" s="134"/>
      <c r="AS107" s="131"/>
      <c r="AT107" s="131"/>
      <c r="AU107" s="131"/>
      <c r="AV107" s="132"/>
      <c r="AW107" s="134"/>
      <c r="AX107" s="131"/>
      <c r="AY107" s="131"/>
      <c r="AZ107" s="132"/>
      <c r="BA107" s="134"/>
      <c r="BB107" s="131"/>
      <c r="BC107" s="131"/>
      <c r="BD107" s="132"/>
      <c r="BE107" s="134"/>
      <c r="BF107" s="136"/>
      <c r="BG107" s="136"/>
      <c r="BH107" s="131"/>
      <c r="BI107" s="132"/>
      <c r="BJ107" s="133"/>
      <c r="BK107" s="135"/>
      <c r="BL107" s="131"/>
      <c r="BM107" s="136"/>
      <c r="BN107" s="134"/>
      <c r="BO107" s="131"/>
      <c r="BP107" s="131"/>
      <c r="BQ107" s="132"/>
      <c r="BR107" s="133"/>
      <c r="BS107" s="131"/>
      <c r="BT107" s="131"/>
      <c r="BU107" s="131"/>
      <c r="BV107" s="136"/>
      <c r="BW107" s="134"/>
      <c r="BX107" s="131"/>
      <c r="BY107" s="131"/>
      <c r="BZ107" s="132"/>
      <c r="CA107" s="133"/>
      <c r="CB107" s="131"/>
      <c r="CC107" s="131"/>
      <c r="CD107" s="132"/>
      <c r="CE107" s="137"/>
      <c r="CF107" s="133"/>
      <c r="CG107" s="138"/>
      <c r="CH107" s="138"/>
      <c r="CI107" s="139"/>
      <c r="CJ107" s="134"/>
      <c r="CK107" s="138"/>
      <c r="CL107" s="138"/>
      <c r="CM107" s="140"/>
      <c r="CR107" s="124"/>
      <c r="CV107" s="125"/>
      <c r="CW107" s="124"/>
      <c r="CZ107" s="126"/>
      <c r="DA107" s="124"/>
      <c r="DE107" s="124"/>
      <c r="DJ107" s="124"/>
      <c r="DK107" s="125"/>
      <c r="DM107" s="126"/>
      <c r="DN107" s="124"/>
      <c r="DS107" s="124"/>
      <c r="EA107" s="124"/>
      <c r="EE107" s="125"/>
      <c r="EF107" s="124"/>
      <c r="EJ107" s="124"/>
      <c r="EN107" s="124"/>
      <c r="ER107" s="126"/>
      <c r="EV107" s="125"/>
      <c r="EW107" s="124"/>
      <c r="EZ107" s="126"/>
      <c r="FF107" s="124"/>
      <c r="FI107" s="126"/>
      <c r="FK107" s="125"/>
      <c r="FN107" s="124"/>
      <c r="FR107" s="126"/>
      <c r="FW107" s="124"/>
      <c r="FZ107" s="126"/>
      <c r="GA107" s="124"/>
      <c r="GE107" s="141"/>
      <c r="GJ107" s="124"/>
      <c r="GM107" s="126"/>
      <c r="GS107" s="124"/>
      <c r="GV107" s="126"/>
      <c r="HA107" s="124"/>
      <c r="HE107" s="126"/>
      <c r="HJ107" s="124"/>
      <c r="HM107" s="126"/>
      <c r="HS107" s="124"/>
      <c r="HV107" s="126"/>
      <c r="IA107" s="124"/>
      <c r="IE107" s="125"/>
      <c r="IF107" s="124"/>
      <c r="II107" s="126"/>
      <c r="IN107" s="124"/>
      <c r="IR107" s="126"/>
      <c r="IW107" s="124"/>
      <c r="IZ107" s="126"/>
      <c r="JF107" s="124"/>
      <c r="JI107" s="126"/>
      <c r="JN107" s="124"/>
      <c r="JR107" s="126"/>
      <c r="JW107" s="124"/>
      <c r="JZ107" s="126"/>
      <c r="KD107" s="141"/>
      <c r="KE107" s="124"/>
      <c r="KH107" s="126"/>
    </row>
    <row r="108" spans="2:294" ht="36.6">
      <c r="B108" s="143" t="s">
        <v>200</v>
      </c>
      <c r="C108" s="242" t="s">
        <v>201</v>
      </c>
      <c r="D108" s="129"/>
      <c r="E108" s="130"/>
      <c r="F108" s="131"/>
      <c r="G108" s="131"/>
      <c r="H108" s="131"/>
      <c r="I108" s="132"/>
      <c r="J108" s="133"/>
      <c r="K108" s="131"/>
      <c r="L108" s="131"/>
      <c r="M108" s="132"/>
      <c r="N108" s="134"/>
      <c r="O108" s="131"/>
      <c r="P108" s="131"/>
      <c r="Q108" s="132"/>
      <c r="R108" s="134"/>
      <c r="S108" s="131"/>
      <c r="T108" s="131"/>
      <c r="U108" s="132"/>
      <c r="V108" s="130"/>
      <c r="W108" s="131"/>
      <c r="X108" s="131"/>
      <c r="Y108" s="131"/>
      <c r="Z108" s="132"/>
      <c r="AA108" s="134"/>
      <c r="AB108" s="131"/>
      <c r="AC108" s="131"/>
      <c r="AD108" s="132"/>
      <c r="AE108" s="134"/>
      <c r="AF108" s="131"/>
      <c r="AG108" s="131"/>
      <c r="AH108" s="132"/>
      <c r="AI108" s="134"/>
      <c r="AJ108" s="131"/>
      <c r="AK108" s="135"/>
      <c r="AL108" s="131"/>
      <c r="AM108" s="132"/>
      <c r="AN108" s="134"/>
      <c r="AO108" s="131"/>
      <c r="AP108" s="131"/>
      <c r="AQ108" s="132"/>
      <c r="AR108" s="134"/>
      <c r="AS108" s="131"/>
      <c r="AT108" s="131"/>
      <c r="AU108" s="131"/>
      <c r="AV108" s="132"/>
      <c r="AW108" s="134"/>
      <c r="AX108" s="131"/>
      <c r="AY108" s="131"/>
      <c r="AZ108" s="132"/>
      <c r="BA108" s="134"/>
      <c r="BB108" s="131"/>
      <c r="BC108" s="131"/>
      <c r="BD108" s="132"/>
      <c r="BE108" s="134"/>
      <c r="BF108" s="136"/>
      <c r="BG108" s="136"/>
      <c r="BH108" s="131"/>
      <c r="BI108" s="132"/>
      <c r="BJ108" s="133"/>
      <c r="BK108" s="135"/>
      <c r="BL108" s="131"/>
      <c r="BM108" s="136"/>
      <c r="BN108" s="134"/>
      <c r="BO108" s="131"/>
      <c r="BP108" s="131"/>
      <c r="BQ108" s="132"/>
      <c r="BR108" s="133"/>
      <c r="BS108" s="131"/>
      <c r="BT108" s="131"/>
      <c r="BU108" s="131"/>
      <c r="BV108" s="136"/>
      <c r="BW108" s="134"/>
      <c r="BX108" s="131"/>
      <c r="BY108" s="131"/>
      <c r="BZ108" s="132"/>
      <c r="CA108" s="133"/>
      <c r="CB108" s="131"/>
      <c r="CC108" s="131"/>
      <c r="CD108" s="132"/>
      <c r="CE108" s="137"/>
      <c r="CF108" s="133"/>
      <c r="CG108" s="138"/>
      <c r="CH108" s="138"/>
      <c r="CI108" s="139"/>
      <c r="CJ108" s="134"/>
      <c r="CK108" s="138"/>
      <c r="CL108" s="138"/>
      <c r="CM108" s="140"/>
      <c r="CR108" s="124"/>
      <c r="CV108" s="125"/>
      <c r="CW108" s="124"/>
      <c r="CZ108" s="126"/>
      <c r="DA108" s="124"/>
      <c r="DE108" s="124"/>
      <c r="DJ108" s="124"/>
      <c r="DK108" s="125"/>
      <c r="DM108" s="126"/>
      <c r="DN108" s="124"/>
      <c r="DS108" s="124"/>
      <c r="EA108" s="124"/>
      <c r="EE108" s="125"/>
      <c r="EF108" s="124"/>
      <c r="EJ108" s="124"/>
      <c r="EN108" s="124"/>
      <c r="ER108" s="126"/>
      <c r="EV108" s="125"/>
      <c r="EW108" s="124"/>
      <c r="EZ108" s="126"/>
      <c r="FF108" s="124"/>
      <c r="FI108" s="126"/>
      <c r="FK108" s="125"/>
      <c r="FN108" s="124"/>
      <c r="FR108" s="126"/>
      <c r="FW108" s="124"/>
      <c r="FZ108" s="126"/>
      <c r="GA108" s="124"/>
      <c r="GE108" s="141"/>
      <c r="GJ108" s="124"/>
      <c r="GM108" s="126"/>
      <c r="GS108" s="124"/>
      <c r="GV108" s="126"/>
      <c r="HA108" s="124"/>
      <c r="HE108" s="126"/>
      <c r="HJ108" s="124"/>
      <c r="HM108" s="126"/>
      <c r="HS108" s="124"/>
      <c r="HV108" s="126"/>
      <c r="IA108" s="124"/>
      <c r="IE108" s="125"/>
      <c r="IF108" s="124"/>
      <c r="II108" s="126"/>
      <c r="IN108" s="124"/>
      <c r="IR108" s="126"/>
      <c r="IW108" s="124"/>
      <c r="IZ108" s="126"/>
      <c r="JF108" s="124"/>
      <c r="JI108" s="126"/>
      <c r="JN108" s="124"/>
      <c r="JR108" s="126"/>
      <c r="JW108" s="124"/>
      <c r="JZ108" s="126"/>
      <c r="KD108" s="141"/>
      <c r="KE108" s="124"/>
      <c r="KH108" s="126"/>
    </row>
    <row r="109" spans="2:294" ht="18.600000000000001">
      <c r="B109" s="127"/>
      <c r="C109" s="242"/>
      <c r="D109" s="129"/>
      <c r="E109" s="130"/>
      <c r="F109" s="131"/>
      <c r="G109" s="131"/>
      <c r="H109" s="131"/>
      <c r="I109" s="132"/>
      <c r="J109" s="133"/>
      <c r="K109" s="131"/>
      <c r="L109" s="131"/>
      <c r="M109" s="132"/>
      <c r="N109" s="134"/>
      <c r="O109" s="131"/>
      <c r="P109" s="131"/>
      <c r="Q109" s="132"/>
      <c r="R109" s="134"/>
      <c r="S109" s="131"/>
      <c r="T109" s="131"/>
      <c r="U109" s="132"/>
      <c r="V109" s="130"/>
      <c r="W109" s="131"/>
      <c r="X109" s="131"/>
      <c r="Y109" s="131"/>
      <c r="Z109" s="132"/>
      <c r="AA109" s="134"/>
      <c r="AB109" s="131"/>
      <c r="AC109" s="131"/>
      <c r="AD109" s="132"/>
      <c r="AE109" s="134"/>
      <c r="AF109" s="131"/>
      <c r="AG109" s="131"/>
      <c r="AH109" s="132"/>
      <c r="AI109" s="134"/>
      <c r="AJ109" s="131"/>
      <c r="AK109" s="135"/>
      <c r="AL109" s="131"/>
      <c r="AM109" s="132"/>
      <c r="AN109" s="134"/>
      <c r="AO109" s="131"/>
      <c r="AP109" s="131"/>
      <c r="AQ109" s="132"/>
      <c r="AR109" s="134"/>
      <c r="AS109" s="131"/>
      <c r="AT109" s="131"/>
      <c r="AU109" s="131"/>
      <c r="AV109" s="132"/>
      <c r="AW109" s="134"/>
      <c r="AX109" s="131"/>
      <c r="AY109" s="131"/>
      <c r="AZ109" s="132"/>
      <c r="BA109" s="134"/>
      <c r="BB109" s="131"/>
      <c r="BC109" s="131"/>
      <c r="BD109" s="132"/>
      <c r="BE109" s="134"/>
      <c r="BF109" s="136"/>
      <c r="BG109" s="136"/>
      <c r="BH109" s="131"/>
      <c r="BI109" s="132"/>
      <c r="BJ109" s="133"/>
      <c r="BK109" s="135"/>
      <c r="BL109" s="131"/>
      <c r="BM109" s="136"/>
      <c r="BN109" s="134"/>
      <c r="BO109" s="131"/>
      <c r="BP109" s="131"/>
      <c r="BQ109" s="132"/>
      <c r="BR109" s="133"/>
      <c r="BS109" s="131"/>
      <c r="BT109" s="131"/>
      <c r="BU109" s="131"/>
      <c r="BV109" s="136"/>
      <c r="BW109" s="134"/>
      <c r="BX109" s="131"/>
      <c r="BY109" s="131"/>
      <c r="BZ109" s="132"/>
      <c r="CA109" s="133"/>
      <c r="CB109" s="131"/>
      <c r="CC109" s="131"/>
      <c r="CD109" s="132"/>
      <c r="CE109" s="137"/>
      <c r="CF109" s="133"/>
      <c r="CG109" s="138"/>
      <c r="CH109" s="138"/>
      <c r="CI109" s="139"/>
      <c r="CJ109" s="134"/>
      <c r="CK109" s="138"/>
      <c r="CL109" s="138"/>
      <c r="CM109" s="140"/>
      <c r="CR109" s="124"/>
      <c r="CV109" s="125"/>
      <c r="CW109" s="124"/>
      <c r="CZ109" s="126"/>
      <c r="DA109" s="124"/>
      <c r="DE109" s="124"/>
      <c r="DJ109" s="124"/>
      <c r="DK109" s="125"/>
      <c r="DM109" s="126"/>
      <c r="DN109" s="124"/>
      <c r="DS109" s="124"/>
      <c r="EA109" s="124"/>
      <c r="EE109" s="125"/>
      <c r="EF109" s="124"/>
      <c r="EJ109" s="124"/>
      <c r="EN109" s="124"/>
      <c r="ER109" s="126"/>
      <c r="EV109" s="125"/>
      <c r="EW109" s="124"/>
      <c r="EZ109" s="126"/>
      <c r="FF109" s="124"/>
      <c r="FI109" s="126"/>
      <c r="FK109" s="125"/>
      <c r="FN109" s="124"/>
      <c r="FR109" s="126"/>
      <c r="FW109" s="124"/>
      <c r="FZ109" s="126"/>
      <c r="GA109" s="124"/>
      <c r="GE109" s="141"/>
      <c r="GJ109" s="124"/>
      <c r="GM109" s="126"/>
      <c r="GS109" s="124"/>
      <c r="GV109" s="126"/>
      <c r="HA109" s="124"/>
      <c r="HE109" s="126"/>
      <c r="HJ109" s="124"/>
      <c r="HM109" s="126"/>
      <c r="HS109" s="124"/>
      <c r="HV109" s="126"/>
      <c r="IA109" s="124"/>
      <c r="IE109" s="125"/>
      <c r="IF109" s="124"/>
      <c r="II109" s="126"/>
      <c r="IN109" s="124"/>
      <c r="IR109" s="126"/>
      <c r="IW109" s="124"/>
      <c r="IZ109" s="126"/>
      <c r="JF109" s="124"/>
      <c r="JI109" s="126"/>
      <c r="JN109" s="124"/>
      <c r="JR109" s="126"/>
      <c r="JW109" s="124"/>
      <c r="JZ109" s="126"/>
      <c r="KD109" s="141"/>
      <c r="KE109" s="124"/>
      <c r="KH109" s="126"/>
    </row>
    <row r="110" spans="2:294" ht="19.2" thickBot="1">
      <c r="B110" s="127"/>
      <c r="C110" s="243"/>
      <c r="D110" s="158"/>
      <c r="E110" s="159"/>
      <c r="F110" s="160"/>
      <c r="G110" s="160"/>
      <c r="H110" s="160"/>
      <c r="I110" s="161"/>
      <c r="J110" s="162"/>
      <c r="K110" s="160"/>
      <c r="L110" s="160"/>
      <c r="M110" s="161"/>
      <c r="N110" s="163"/>
      <c r="O110" s="160"/>
      <c r="P110" s="160"/>
      <c r="Q110" s="161"/>
      <c r="R110" s="163"/>
      <c r="S110" s="160"/>
      <c r="T110" s="160"/>
      <c r="U110" s="161"/>
      <c r="V110" s="159"/>
      <c r="W110" s="160"/>
      <c r="X110" s="160"/>
      <c r="Y110" s="160"/>
      <c r="Z110" s="161"/>
      <c r="AA110" s="163"/>
      <c r="AB110" s="160"/>
      <c r="AC110" s="160"/>
      <c r="AD110" s="161"/>
      <c r="AE110" s="163"/>
      <c r="AF110" s="160"/>
      <c r="AG110" s="160"/>
      <c r="AH110" s="161"/>
      <c r="AI110" s="163"/>
      <c r="AJ110" s="160"/>
      <c r="AK110" s="164"/>
      <c r="AL110" s="160"/>
      <c r="AM110" s="161"/>
      <c r="AN110" s="163"/>
      <c r="AO110" s="160"/>
      <c r="AP110" s="160"/>
      <c r="AQ110" s="161"/>
      <c r="AR110" s="163"/>
      <c r="AS110" s="160"/>
      <c r="AT110" s="160"/>
      <c r="AU110" s="160"/>
      <c r="AV110" s="161"/>
      <c r="AW110" s="163"/>
      <c r="AX110" s="160"/>
      <c r="AY110" s="160"/>
      <c r="AZ110" s="161"/>
      <c r="BA110" s="163"/>
      <c r="BB110" s="160"/>
      <c r="BC110" s="160"/>
      <c r="BD110" s="161"/>
      <c r="BE110" s="163"/>
      <c r="BF110" s="165"/>
      <c r="BG110" s="165"/>
      <c r="BH110" s="160"/>
      <c r="BI110" s="161"/>
      <c r="BJ110" s="162"/>
      <c r="BK110" s="164"/>
      <c r="BL110" s="160"/>
      <c r="BM110" s="165"/>
      <c r="BN110" s="163"/>
      <c r="BO110" s="160"/>
      <c r="BP110" s="160"/>
      <c r="BQ110" s="161"/>
      <c r="BR110" s="162"/>
      <c r="BS110" s="160"/>
      <c r="BT110" s="160"/>
      <c r="BU110" s="160"/>
      <c r="BV110" s="165"/>
      <c r="BW110" s="163"/>
      <c r="BX110" s="160"/>
      <c r="BY110" s="160"/>
      <c r="BZ110" s="161"/>
      <c r="CA110" s="162"/>
      <c r="CB110" s="160"/>
      <c r="CC110" s="160"/>
      <c r="CD110" s="161"/>
      <c r="CE110" s="166"/>
      <c r="CF110" s="162"/>
      <c r="CG110" s="167"/>
      <c r="CH110" s="167"/>
      <c r="CI110" s="168"/>
      <c r="CJ110" s="163"/>
      <c r="CK110" s="167"/>
      <c r="CL110" s="167"/>
      <c r="CM110" s="169"/>
      <c r="CN110" s="145"/>
      <c r="CO110" s="145"/>
      <c r="CP110" s="145"/>
      <c r="CQ110" s="145"/>
      <c r="CR110" s="146"/>
      <c r="CS110" s="145"/>
      <c r="CT110" s="145"/>
      <c r="CU110" s="145"/>
      <c r="CV110" s="147"/>
      <c r="CW110" s="146"/>
      <c r="CX110" s="145"/>
      <c r="CY110" s="145"/>
      <c r="CZ110" s="148"/>
      <c r="DA110" s="146"/>
      <c r="DB110" s="145"/>
      <c r="DC110" s="145"/>
      <c r="DD110" s="145"/>
      <c r="DE110" s="146"/>
      <c r="DF110" s="145"/>
      <c r="DG110" s="145"/>
      <c r="DH110" s="145"/>
      <c r="DI110" s="145"/>
      <c r="DJ110" s="146"/>
      <c r="DK110" s="147"/>
      <c r="DL110" s="145"/>
      <c r="DM110" s="148"/>
      <c r="DN110" s="146"/>
      <c r="DO110" s="145"/>
      <c r="DP110" s="145"/>
      <c r="DQ110" s="145"/>
      <c r="DR110" s="145"/>
      <c r="DS110" s="146"/>
      <c r="DT110" s="145"/>
      <c r="DU110" s="145"/>
      <c r="DV110" s="145"/>
      <c r="DW110" s="145"/>
      <c r="DX110" s="145"/>
      <c r="DY110" s="145"/>
      <c r="DZ110" s="145"/>
      <c r="EA110" s="146"/>
      <c r="EB110" s="145"/>
      <c r="EC110" s="145"/>
      <c r="ED110" s="145"/>
      <c r="EE110" s="147"/>
      <c r="EF110" s="146"/>
      <c r="EG110" s="145"/>
      <c r="EH110" s="145"/>
      <c r="EI110" s="145"/>
      <c r="EJ110" s="146"/>
      <c r="EK110" s="145"/>
      <c r="EL110" s="145"/>
      <c r="EM110" s="145"/>
      <c r="EN110" s="146"/>
      <c r="EO110" s="145"/>
      <c r="EP110" s="145"/>
      <c r="EQ110" s="145"/>
      <c r="ER110" s="148"/>
      <c r="ES110" s="145"/>
      <c r="ET110" s="145"/>
      <c r="EU110" s="145"/>
      <c r="EV110" s="147"/>
      <c r="EW110" s="146"/>
      <c r="EX110" s="145"/>
      <c r="EY110" s="145"/>
      <c r="EZ110" s="148"/>
      <c r="FA110" s="145"/>
      <c r="FB110" s="145"/>
      <c r="FC110" s="145"/>
      <c r="FD110" s="145"/>
      <c r="FE110" s="145"/>
      <c r="FF110" s="146"/>
      <c r="FG110" s="145"/>
      <c r="FH110" s="145"/>
      <c r="FI110" s="148"/>
      <c r="FJ110" s="145"/>
      <c r="FK110" s="147"/>
      <c r="FL110" s="145"/>
      <c r="FM110" s="145"/>
      <c r="FN110" s="146"/>
      <c r="FO110" s="145"/>
      <c r="FP110" s="145"/>
      <c r="FQ110" s="145"/>
      <c r="FR110" s="148"/>
      <c r="FS110" s="145"/>
      <c r="FT110" s="145"/>
      <c r="FU110" s="145"/>
      <c r="FV110" s="145"/>
      <c r="FW110" s="146"/>
      <c r="FX110" s="145"/>
      <c r="FY110" s="145"/>
      <c r="FZ110" s="148"/>
      <c r="GA110" s="146"/>
      <c r="GB110" s="145"/>
      <c r="GC110" s="145"/>
      <c r="GD110" s="145"/>
      <c r="GE110" s="149"/>
      <c r="GF110" s="145"/>
      <c r="GG110" s="145"/>
      <c r="GH110" s="145"/>
      <c r="GI110" s="145"/>
      <c r="GJ110" s="146"/>
      <c r="GK110" s="145"/>
      <c r="GL110" s="145"/>
      <c r="GM110" s="148"/>
      <c r="GN110" s="145"/>
      <c r="GO110" s="145"/>
      <c r="GP110" s="145"/>
      <c r="GQ110" s="145"/>
      <c r="GR110" s="145"/>
      <c r="GS110" s="146"/>
      <c r="GT110" s="145"/>
      <c r="GU110" s="145"/>
      <c r="GV110" s="148"/>
      <c r="GW110" s="145"/>
      <c r="GX110" s="145"/>
      <c r="GY110" s="145"/>
      <c r="GZ110" s="145"/>
      <c r="HA110" s="146"/>
      <c r="HB110" s="145"/>
      <c r="HC110" s="145"/>
      <c r="HD110" s="145"/>
      <c r="HE110" s="148"/>
      <c r="HF110" s="145"/>
      <c r="HG110" s="145"/>
      <c r="HH110" s="145"/>
      <c r="HI110" s="145"/>
      <c r="HJ110" s="146"/>
      <c r="HK110" s="145"/>
      <c r="HL110" s="145"/>
      <c r="HM110" s="148"/>
      <c r="HN110" s="145"/>
      <c r="HO110" s="145"/>
      <c r="HP110" s="145"/>
      <c r="HQ110" s="145"/>
      <c r="HR110" s="145"/>
      <c r="HS110" s="146"/>
      <c r="HT110" s="145"/>
      <c r="HU110" s="145"/>
      <c r="HV110" s="148"/>
      <c r="HW110" s="145"/>
      <c r="HX110" s="145"/>
      <c r="HY110" s="145"/>
      <c r="HZ110" s="145"/>
      <c r="IA110" s="146"/>
      <c r="IB110" s="145"/>
      <c r="IC110" s="145"/>
      <c r="ID110" s="145"/>
      <c r="IE110" s="147"/>
      <c r="IF110" s="146"/>
      <c r="IG110" s="145"/>
      <c r="IH110" s="145"/>
      <c r="II110" s="148"/>
      <c r="IJ110" s="145"/>
      <c r="IK110" s="145"/>
      <c r="IL110" s="145"/>
      <c r="IM110" s="145"/>
      <c r="IN110" s="146"/>
      <c r="IO110" s="145"/>
      <c r="IP110" s="145"/>
      <c r="IQ110" s="145"/>
      <c r="IR110" s="148"/>
      <c r="IS110" s="145"/>
      <c r="IT110" s="145"/>
      <c r="IU110" s="145"/>
      <c r="IV110" s="145"/>
      <c r="IW110" s="146"/>
      <c r="IX110" s="145"/>
      <c r="IY110" s="145"/>
      <c r="IZ110" s="148"/>
      <c r="JA110" s="145"/>
      <c r="JB110" s="145"/>
      <c r="JC110" s="145"/>
      <c r="JD110" s="145"/>
      <c r="JE110" s="145"/>
      <c r="JF110" s="146"/>
      <c r="JG110" s="145"/>
      <c r="JH110" s="145"/>
      <c r="JI110" s="148"/>
      <c r="JJ110" s="145"/>
      <c r="JK110" s="145"/>
      <c r="JL110" s="145"/>
      <c r="JM110" s="145"/>
      <c r="JN110" s="146"/>
      <c r="JO110" s="145"/>
      <c r="JP110" s="145"/>
      <c r="JQ110" s="145"/>
      <c r="JR110" s="148"/>
      <c r="JS110" s="145"/>
      <c r="JT110" s="145"/>
      <c r="JU110" s="145"/>
      <c r="JV110" s="145"/>
      <c r="JW110" s="146"/>
      <c r="JX110" s="145"/>
      <c r="JY110" s="145"/>
      <c r="JZ110" s="148"/>
      <c r="KA110" s="145"/>
      <c r="KB110" s="145"/>
      <c r="KC110" s="145"/>
      <c r="KD110" s="149"/>
      <c r="KE110" s="146"/>
      <c r="KF110" s="145"/>
      <c r="KG110" s="145"/>
      <c r="KH110" s="148"/>
    </row>
    <row r="111" spans="2:294" ht="19.2" thickTop="1">
      <c r="B111" s="123"/>
      <c r="C111" s="257" t="s">
        <v>217</v>
      </c>
      <c r="D111" s="129"/>
      <c r="E111" s="130"/>
      <c r="F111" s="131"/>
      <c r="G111" s="131"/>
      <c r="H111" s="131"/>
      <c r="I111" s="132"/>
      <c r="J111" s="133"/>
      <c r="K111" s="131"/>
      <c r="L111" s="131"/>
      <c r="M111" s="132"/>
      <c r="N111" s="134"/>
      <c r="O111" s="131"/>
      <c r="P111" s="131"/>
      <c r="Q111" s="132"/>
      <c r="R111" s="134"/>
      <c r="S111" s="131"/>
      <c r="T111" s="131"/>
      <c r="U111" s="132"/>
      <c r="V111" s="130"/>
      <c r="W111" s="131"/>
      <c r="X111" s="131"/>
      <c r="Y111" s="131"/>
      <c r="Z111" s="132"/>
      <c r="AA111" s="134"/>
      <c r="AB111" s="131"/>
      <c r="AC111" s="131"/>
      <c r="AD111" s="132"/>
      <c r="AE111" s="134"/>
      <c r="AF111" s="131"/>
      <c r="AG111" s="131"/>
      <c r="AH111" s="132"/>
      <c r="AI111" s="134"/>
      <c r="AJ111" s="131"/>
      <c r="AK111" s="135"/>
      <c r="AL111" s="131"/>
      <c r="AM111" s="132"/>
      <c r="AN111" s="134"/>
      <c r="AO111" s="131"/>
      <c r="AP111" s="131"/>
      <c r="AQ111" s="132"/>
      <c r="AR111" s="134"/>
      <c r="AS111" s="131"/>
      <c r="AT111" s="131"/>
      <c r="AU111" s="131"/>
      <c r="AV111" s="132"/>
      <c r="AW111" s="134"/>
      <c r="AX111" s="131"/>
      <c r="AY111" s="131"/>
      <c r="AZ111" s="132"/>
      <c r="BA111" s="134"/>
      <c r="BB111" s="131"/>
      <c r="BC111" s="131"/>
      <c r="BD111" s="132"/>
      <c r="BE111" s="134"/>
      <c r="BF111" s="136"/>
      <c r="BG111" s="136"/>
      <c r="BH111" s="131"/>
      <c r="BI111" s="132"/>
      <c r="BJ111" s="133"/>
      <c r="BK111" s="135"/>
      <c r="BL111" s="131"/>
      <c r="BM111" s="136"/>
      <c r="BN111" s="134"/>
      <c r="BO111" s="131"/>
      <c r="BP111" s="131"/>
      <c r="BQ111" s="132"/>
      <c r="BR111" s="133"/>
      <c r="BS111" s="131"/>
      <c r="BT111" s="131"/>
      <c r="BU111" s="131"/>
      <c r="BV111" s="136"/>
      <c r="BW111" s="134"/>
      <c r="BX111" s="131"/>
      <c r="BY111" s="131"/>
      <c r="BZ111" s="132"/>
      <c r="CA111" s="133"/>
      <c r="CB111" s="131"/>
      <c r="CC111" s="131"/>
      <c r="CD111" s="132"/>
      <c r="CE111" s="137"/>
      <c r="CF111" s="133"/>
      <c r="CG111" s="138"/>
      <c r="CH111" s="138"/>
      <c r="CI111" s="139"/>
      <c r="CJ111" s="134"/>
      <c r="CK111" s="138"/>
      <c r="CL111" s="138"/>
      <c r="CM111" s="140"/>
      <c r="CR111" s="124"/>
      <c r="CV111" s="125"/>
      <c r="CW111" s="124"/>
      <c r="CX111" s="170"/>
      <c r="CZ111" s="126"/>
      <c r="DA111" s="171"/>
      <c r="DB111" s="172"/>
      <c r="DE111" s="124"/>
      <c r="DJ111" s="124"/>
      <c r="DK111" s="125"/>
      <c r="DM111" s="126"/>
      <c r="DN111" s="124"/>
      <c r="DS111" s="124"/>
      <c r="DT111" s="172"/>
      <c r="EA111" s="124"/>
      <c r="EE111" s="125"/>
      <c r="EF111" s="124"/>
      <c r="EH111" s="151"/>
      <c r="EI111" s="151"/>
      <c r="EJ111" s="150"/>
      <c r="EK111" s="151"/>
      <c r="EL111" s="151"/>
      <c r="EM111" s="151"/>
      <c r="EN111" s="150"/>
      <c r="EO111" s="151"/>
      <c r="EP111" s="151"/>
      <c r="EQ111" s="151"/>
      <c r="ER111" s="154"/>
      <c r="ES111" s="151"/>
      <c r="ET111" s="151"/>
      <c r="EU111" s="151"/>
      <c r="EV111" s="152"/>
      <c r="EW111" s="150"/>
      <c r="EX111" s="151"/>
      <c r="EY111" s="151"/>
      <c r="EZ111" s="154"/>
      <c r="FA111" s="151"/>
      <c r="FB111" s="151"/>
      <c r="FC111" s="151"/>
      <c r="FD111" s="151"/>
      <c r="FE111" s="151"/>
      <c r="FF111" s="150"/>
      <c r="FG111" s="151"/>
      <c r="FH111" s="151"/>
      <c r="FI111" s="154"/>
      <c r="FJ111" s="151"/>
      <c r="FK111" s="152"/>
      <c r="FL111" s="151"/>
      <c r="FM111" s="151"/>
      <c r="FN111" s="150"/>
      <c r="FO111" s="151"/>
      <c r="FP111" s="151"/>
      <c r="FQ111" s="151"/>
      <c r="FR111" s="154"/>
      <c r="FS111" s="151"/>
      <c r="FT111" s="151"/>
      <c r="FU111" s="151"/>
      <c r="FV111" s="151"/>
      <c r="FW111" s="150"/>
      <c r="FX111" s="151"/>
      <c r="FY111" s="151"/>
      <c r="FZ111" s="154"/>
      <c r="GA111" s="150"/>
      <c r="GB111" s="151"/>
      <c r="GC111" s="151"/>
      <c r="GD111" s="151"/>
      <c r="GE111" s="156"/>
      <c r="GJ111" s="124"/>
      <c r="GM111" s="126"/>
      <c r="GS111" s="124"/>
      <c r="GV111" s="126"/>
      <c r="HA111" s="124"/>
      <c r="HE111" s="126"/>
      <c r="HJ111" s="124"/>
      <c r="HM111" s="126"/>
      <c r="HS111" s="124"/>
      <c r="HV111" s="126"/>
      <c r="IA111" s="124"/>
      <c r="IE111" s="125"/>
      <c r="IF111" s="124"/>
      <c r="II111" s="126"/>
      <c r="IN111" s="124"/>
      <c r="IR111" s="126"/>
      <c r="IW111" s="124"/>
      <c r="IZ111" s="126"/>
      <c r="JF111" s="124"/>
      <c r="JI111" s="126"/>
      <c r="JN111" s="124"/>
      <c r="JR111" s="126"/>
      <c r="JW111" s="124"/>
      <c r="JZ111" s="126"/>
      <c r="KD111" s="141"/>
      <c r="KE111" s="124"/>
      <c r="KH111" s="126"/>
    </row>
    <row r="112" spans="2:294" ht="36.6">
      <c r="B112" s="143" t="s">
        <v>217</v>
      </c>
      <c r="C112" s="257" t="s">
        <v>187</v>
      </c>
      <c r="D112" s="129"/>
      <c r="E112" s="130"/>
      <c r="F112" s="131"/>
      <c r="G112" s="131"/>
      <c r="H112" s="131"/>
      <c r="I112" s="132"/>
      <c r="J112" s="133"/>
      <c r="K112" s="131"/>
      <c r="L112" s="131"/>
      <c r="M112" s="132"/>
      <c r="N112" s="134"/>
      <c r="O112" s="131"/>
      <c r="P112" s="131"/>
      <c r="Q112" s="132"/>
      <c r="R112" s="134"/>
      <c r="S112" s="131"/>
      <c r="T112" s="131"/>
      <c r="U112" s="132"/>
      <c r="V112" s="130"/>
      <c r="W112" s="131"/>
      <c r="X112" s="131"/>
      <c r="Y112" s="131"/>
      <c r="Z112" s="132"/>
      <c r="AA112" s="134"/>
      <c r="AB112" s="131"/>
      <c r="AC112" s="131"/>
      <c r="AD112" s="132"/>
      <c r="AE112" s="134"/>
      <c r="AF112" s="131"/>
      <c r="AG112" s="131"/>
      <c r="AH112" s="132"/>
      <c r="AI112" s="134"/>
      <c r="AJ112" s="131"/>
      <c r="AK112" s="135"/>
      <c r="AL112" s="131"/>
      <c r="AM112" s="132"/>
      <c r="AN112" s="134"/>
      <c r="AO112" s="131"/>
      <c r="AP112" s="131"/>
      <c r="AQ112" s="132"/>
      <c r="AR112" s="134"/>
      <c r="AS112" s="131"/>
      <c r="AT112" s="131"/>
      <c r="AU112" s="131"/>
      <c r="AV112" s="132"/>
      <c r="AW112" s="134"/>
      <c r="AX112" s="131"/>
      <c r="AY112" s="131"/>
      <c r="AZ112" s="132"/>
      <c r="BA112" s="134"/>
      <c r="BB112" s="131"/>
      <c r="BC112" s="131"/>
      <c r="BD112" s="132"/>
      <c r="BE112" s="134"/>
      <c r="BF112" s="136"/>
      <c r="BG112" s="136"/>
      <c r="BH112" s="131"/>
      <c r="BI112" s="132"/>
      <c r="BJ112" s="133"/>
      <c r="BK112" s="135"/>
      <c r="BL112" s="131"/>
      <c r="BM112" s="136"/>
      <c r="BN112" s="134"/>
      <c r="BO112" s="131"/>
      <c r="BP112" s="131"/>
      <c r="BQ112" s="132"/>
      <c r="BR112" s="133"/>
      <c r="BS112" s="131"/>
      <c r="BT112" s="131"/>
      <c r="BU112" s="131"/>
      <c r="BV112" s="136"/>
      <c r="BW112" s="134"/>
      <c r="BX112" s="131"/>
      <c r="BY112" s="131"/>
      <c r="BZ112" s="132"/>
      <c r="CA112" s="133"/>
      <c r="CB112" s="131"/>
      <c r="CC112" s="131"/>
      <c r="CD112" s="132"/>
      <c r="CE112" s="137"/>
      <c r="CF112" s="133"/>
      <c r="CG112" s="138"/>
      <c r="CH112" s="138"/>
      <c r="CI112" s="139"/>
      <c r="CJ112" s="134"/>
      <c r="CK112" s="138"/>
      <c r="CL112" s="138"/>
      <c r="CM112" s="140"/>
      <c r="CR112" s="124"/>
      <c r="CV112" s="125"/>
      <c r="CW112" s="124"/>
      <c r="CZ112" s="126"/>
      <c r="DA112" s="124"/>
      <c r="DE112" s="124"/>
      <c r="DJ112" s="124"/>
      <c r="DK112" s="125"/>
      <c r="DM112" s="126"/>
      <c r="DN112" s="124"/>
      <c r="DS112" s="124"/>
      <c r="EA112" s="124"/>
      <c r="EE112" s="125"/>
      <c r="EF112" s="124"/>
      <c r="EJ112" s="124"/>
      <c r="EN112" s="124"/>
      <c r="ER112" s="126"/>
      <c r="EV112" s="125"/>
      <c r="EW112" s="124"/>
      <c r="EZ112" s="126"/>
      <c r="FF112" s="124"/>
      <c r="FI112" s="126"/>
      <c r="FK112" s="125"/>
      <c r="FN112" s="124"/>
      <c r="FR112" s="126"/>
      <c r="FW112" s="124"/>
      <c r="FZ112" s="126"/>
      <c r="GA112" s="124"/>
      <c r="GE112" s="141"/>
      <c r="GJ112" s="124"/>
      <c r="GM112" s="126"/>
      <c r="GS112" s="124"/>
      <c r="GV112" s="126"/>
      <c r="HA112" s="124"/>
      <c r="HE112" s="126"/>
      <c r="HJ112" s="124"/>
      <c r="HM112" s="126"/>
      <c r="HS112" s="124"/>
      <c r="HV112" s="126"/>
      <c r="IA112" s="124"/>
      <c r="IE112" s="125"/>
      <c r="IF112" s="124"/>
      <c r="II112" s="126"/>
      <c r="IN112" s="124"/>
      <c r="IR112" s="126"/>
      <c r="IW112" s="124"/>
      <c r="IZ112" s="126"/>
      <c r="JF112" s="124"/>
      <c r="JI112" s="126"/>
      <c r="JN112" s="124"/>
      <c r="JR112" s="126"/>
      <c r="JW112" s="124"/>
      <c r="JZ112" s="126"/>
      <c r="KD112" s="141"/>
      <c r="KE112" s="124"/>
      <c r="KH112" s="126"/>
    </row>
    <row r="113" spans="2:294" ht="18.600000000000001">
      <c r="B113" s="127" t="s">
        <v>395</v>
      </c>
      <c r="C113" s="257" t="s">
        <v>218</v>
      </c>
      <c r="D113" s="129" t="s">
        <v>186</v>
      </c>
      <c r="E113" s="130"/>
      <c r="F113" s="131"/>
      <c r="G113" s="131"/>
      <c r="H113" s="131"/>
      <c r="I113" s="132"/>
      <c r="J113" s="133"/>
      <c r="K113" s="131"/>
      <c r="L113" s="131"/>
      <c r="M113" s="132"/>
      <c r="N113" s="134"/>
      <c r="O113" s="131"/>
      <c r="P113" s="131"/>
      <c r="Q113" s="132"/>
      <c r="R113" s="134"/>
      <c r="S113" s="131"/>
      <c r="T113" s="131"/>
      <c r="U113" s="132"/>
      <c r="V113" s="130"/>
      <c r="W113" s="131"/>
      <c r="X113" s="131"/>
      <c r="Y113" s="131"/>
      <c r="Z113" s="132"/>
      <c r="AA113" s="134"/>
      <c r="AB113" s="131"/>
      <c r="AC113" s="131"/>
      <c r="AD113" s="132"/>
      <c r="AE113" s="134"/>
      <c r="AF113" s="131"/>
      <c r="AG113" s="131"/>
      <c r="AH113" s="132"/>
      <c r="AI113" s="134"/>
      <c r="AJ113" s="131"/>
      <c r="AK113" s="135"/>
      <c r="AL113" s="131"/>
      <c r="AM113" s="132"/>
      <c r="AN113" s="134"/>
      <c r="AO113" s="131"/>
      <c r="AP113" s="131"/>
      <c r="AQ113" s="132"/>
      <c r="AR113" s="134"/>
      <c r="AS113" s="131"/>
      <c r="AT113" s="131"/>
      <c r="AU113" s="131"/>
      <c r="AV113" s="132"/>
      <c r="AW113" s="134"/>
      <c r="AX113" s="131"/>
      <c r="AY113" s="131"/>
      <c r="AZ113" s="132"/>
      <c r="BA113" s="134"/>
      <c r="BB113" s="131"/>
      <c r="BC113" s="131"/>
      <c r="BD113" s="132"/>
      <c r="BE113" s="134"/>
      <c r="BF113" s="136"/>
      <c r="BG113" s="136"/>
      <c r="BH113" s="131"/>
      <c r="BI113" s="132"/>
      <c r="BJ113" s="133"/>
      <c r="BK113" s="135"/>
      <c r="BL113" s="131"/>
      <c r="BM113" s="136"/>
      <c r="BN113" s="134"/>
      <c r="BO113" s="131"/>
      <c r="BP113" s="131"/>
      <c r="BQ113" s="132"/>
      <c r="BR113" s="133"/>
      <c r="BS113" s="131"/>
      <c r="BT113" s="131"/>
      <c r="BU113" s="131"/>
      <c r="BV113" s="136"/>
      <c r="BW113" s="134"/>
      <c r="BX113" s="131"/>
      <c r="BY113" s="131"/>
      <c r="BZ113" s="132"/>
      <c r="CA113" s="133"/>
      <c r="CB113" s="131"/>
      <c r="CC113" s="131"/>
      <c r="CD113" s="132"/>
      <c r="CE113" s="137"/>
      <c r="CF113" s="133"/>
      <c r="CG113" s="138"/>
      <c r="CH113" s="138"/>
      <c r="CI113" s="139"/>
      <c r="CJ113" s="134"/>
      <c r="CK113" s="138"/>
      <c r="CL113" s="138"/>
      <c r="CM113" s="140"/>
      <c r="CR113" s="124"/>
      <c r="CV113" s="125"/>
      <c r="CW113" s="124"/>
      <c r="CZ113" s="126"/>
      <c r="DA113" s="124"/>
      <c r="DE113" s="124"/>
      <c r="DJ113" s="124"/>
      <c r="DK113" s="125"/>
      <c r="DM113" s="126"/>
      <c r="DN113" s="124"/>
      <c r="DS113" s="124"/>
      <c r="EA113" s="124"/>
      <c r="EE113" s="125"/>
      <c r="EF113" s="124"/>
      <c r="EJ113" s="124"/>
      <c r="EN113" s="124"/>
      <c r="ER113" s="126"/>
      <c r="EV113" s="125"/>
      <c r="EW113" s="124"/>
      <c r="EZ113" s="126"/>
      <c r="FF113" s="124"/>
      <c r="FI113" s="126"/>
      <c r="FK113" s="125"/>
      <c r="FN113" s="124"/>
      <c r="FR113" s="126"/>
      <c r="FW113" s="124"/>
      <c r="FZ113" s="126"/>
      <c r="GA113" s="124"/>
      <c r="GE113" s="141"/>
      <c r="GJ113" s="124"/>
      <c r="GM113" s="126"/>
      <c r="GS113" s="124"/>
      <c r="GV113" s="126"/>
      <c r="HA113" s="124"/>
      <c r="HE113" s="126"/>
      <c r="HJ113" s="124"/>
      <c r="HM113" s="126"/>
      <c r="HS113" s="124"/>
      <c r="HV113" s="126"/>
      <c r="IA113" s="124"/>
      <c r="IE113" s="125"/>
      <c r="IF113" s="124"/>
      <c r="II113" s="126"/>
      <c r="IN113" s="124"/>
      <c r="IR113" s="126"/>
      <c r="IW113" s="124"/>
      <c r="IZ113" s="126"/>
      <c r="JF113" s="124"/>
      <c r="JI113" s="126"/>
      <c r="JN113" s="124"/>
      <c r="JR113" s="126"/>
      <c r="JW113" s="124"/>
      <c r="JZ113" s="126"/>
      <c r="KD113" s="141"/>
      <c r="KE113" s="124"/>
      <c r="KH113" s="126"/>
    </row>
    <row r="114" spans="2:294" ht="18.600000000000001">
      <c r="B114" s="127"/>
      <c r="C114" s="257"/>
      <c r="D114" s="129"/>
      <c r="E114" s="130"/>
      <c r="F114" s="131"/>
      <c r="G114" s="131"/>
      <c r="H114" s="131"/>
      <c r="I114" s="132"/>
      <c r="J114" s="133"/>
      <c r="K114" s="131"/>
      <c r="L114" s="131"/>
      <c r="M114" s="132"/>
      <c r="N114" s="134"/>
      <c r="O114" s="131"/>
      <c r="P114" s="131"/>
      <c r="Q114" s="132"/>
      <c r="R114" s="134"/>
      <c r="S114" s="131"/>
      <c r="T114" s="131"/>
      <c r="U114" s="132"/>
      <c r="V114" s="130"/>
      <c r="W114" s="131"/>
      <c r="X114" s="131"/>
      <c r="Y114" s="131"/>
      <c r="Z114" s="132"/>
      <c r="AA114" s="134"/>
      <c r="AB114" s="131"/>
      <c r="AC114" s="131"/>
      <c r="AD114" s="132"/>
      <c r="AE114" s="134"/>
      <c r="AF114" s="131"/>
      <c r="AG114" s="131"/>
      <c r="AH114" s="132"/>
      <c r="AI114" s="134"/>
      <c r="AJ114" s="131"/>
      <c r="AK114" s="135"/>
      <c r="AL114" s="131"/>
      <c r="AM114" s="132"/>
      <c r="AN114" s="134"/>
      <c r="AO114" s="131"/>
      <c r="AP114" s="131"/>
      <c r="AQ114" s="132"/>
      <c r="AR114" s="134"/>
      <c r="AS114" s="131"/>
      <c r="AT114" s="131"/>
      <c r="AU114" s="131"/>
      <c r="AV114" s="132"/>
      <c r="AW114" s="134"/>
      <c r="AX114" s="131"/>
      <c r="AY114" s="131"/>
      <c r="AZ114" s="132"/>
      <c r="BA114" s="134"/>
      <c r="BB114" s="131"/>
      <c r="BC114" s="131"/>
      <c r="BD114" s="132"/>
      <c r="BE114" s="134"/>
      <c r="BF114" s="136"/>
      <c r="BG114" s="136"/>
      <c r="BH114" s="131"/>
      <c r="BI114" s="132"/>
      <c r="BJ114" s="133"/>
      <c r="BK114" s="135"/>
      <c r="BL114" s="131"/>
      <c r="BM114" s="136"/>
      <c r="BN114" s="134"/>
      <c r="BO114" s="131"/>
      <c r="BP114" s="131"/>
      <c r="BQ114" s="132"/>
      <c r="BR114" s="133"/>
      <c r="BS114" s="131"/>
      <c r="BT114" s="131"/>
      <c r="BU114" s="131"/>
      <c r="BV114" s="136"/>
      <c r="BW114" s="134"/>
      <c r="BX114" s="131"/>
      <c r="BY114" s="131"/>
      <c r="BZ114" s="132"/>
      <c r="CA114" s="133"/>
      <c r="CB114" s="131"/>
      <c r="CC114" s="131"/>
      <c r="CD114" s="132"/>
      <c r="CE114" s="137"/>
      <c r="CF114" s="133"/>
      <c r="CG114" s="138"/>
      <c r="CH114" s="138"/>
      <c r="CI114" s="139"/>
      <c r="CJ114" s="134"/>
      <c r="CK114" s="138"/>
      <c r="CL114" s="138"/>
      <c r="CM114" s="140"/>
      <c r="CR114" s="124"/>
      <c r="CV114" s="125"/>
      <c r="CW114" s="124"/>
      <c r="CZ114" s="126"/>
      <c r="DA114" s="124"/>
      <c r="DE114" s="124"/>
      <c r="DJ114" s="124"/>
      <c r="DK114" s="125"/>
      <c r="DM114" s="126"/>
      <c r="DN114" s="124"/>
      <c r="DS114" s="124"/>
      <c r="EA114" s="124"/>
      <c r="EE114" s="125"/>
      <c r="EF114" s="124"/>
      <c r="EJ114" s="124"/>
      <c r="EN114" s="124"/>
      <c r="ER114" s="126"/>
      <c r="EV114" s="125"/>
      <c r="EW114" s="124"/>
      <c r="EZ114" s="126"/>
      <c r="FF114" s="124"/>
      <c r="FI114" s="126"/>
      <c r="FK114" s="125"/>
      <c r="FN114" s="124"/>
      <c r="FR114" s="126"/>
      <c r="FW114" s="124"/>
      <c r="FZ114" s="126"/>
      <c r="GA114" s="124"/>
      <c r="GE114" s="141"/>
      <c r="GJ114" s="124"/>
      <c r="GM114" s="126"/>
      <c r="GS114" s="124"/>
      <c r="GV114" s="126"/>
      <c r="HA114" s="124"/>
      <c r="HE114" s="126"/>
      <c r="HJ114" s="124"/>
      <c r="HM114" s="126"/>
      <c r="HS114" s="124"/>
      <c r="HV114" s="126"/>
      <c r="IA114" s="124"/>
      <c r="IE114" s="125"/>
      <c r="IF114" s="124"/>
      <c r="II114" s="126"/>
      <c r="IN114" s="124"/>
      <c r="IR114" s="126"/>
      <c r="IW114" s="124"/>
      <c r="IZ114" s="126"/>
      <c r="JF114" s="124"/>
      <c r="JI114" s="126"/>
      <c r="JN114" s="124"/>
      <c r="JR114" s="126"/>
      <c r="JW114" s="124"/>
      <c r="JZ114" s="126"/>
      <c r="KD114" s="141"/>
      <c r="KE114" s="124"/>
      <c r="KH114" s="126"/>
    </row>
    <row r="115" spans="2:294" ht="19.2" thickBot="1">
      <c r="B115" s="127"/>
      <c r="C115" s="258"/>
      <c r="D115" s="158"/>
      <c r="E115" s="159"/>
      <c r="F115" s="160"/>
      <c r="G115" s="160"/>
      <c r="H115" s="160"/>
      <c r="I115" s="161"/>
      <c r="J115" s="162"/>
      <c r="K115" s="160"/>
      <c r="L115" s="160"/>
      <c r="M115" s="161"/>
      <c r="N115" s="163"/>
      <c r="O115" s="160"/>
      <c r="P115" s="160"/>
      <c r="Q115" s="161"/>
      <c r="R115" s="163"/>
      <c r="S115" s="160"/>
      <c r="T115" s="160"/>
      <c r="U115" s="161"/>
      <c r="V115" s="159"/>
      <c r="W115" s="160"/>
      <c r="X115" s="160"/>
      <c r="Y115" s="160"/>
      <c r="Z115" s="161"/>
      <c r="AA115" s="163"/>
      <c r="AB115" s="160"/>
      <c r="AC115" s="160"/>
      <c r="AD115" s="161"/>
      <c r="AE115" s="163"/>
      <c r="AF115" s="160"/>
      <c r="AG115" s="160"/>
      <c r="AH115" s="161"/>
      <c r="AI115" s="163"/>
      <c r="AJ115" s="160"/>
      <c r="AK115" s="164"/>
      <c r="AL115" s="160"/>
      <c r="AM115" s="161"/>
      <c r="AN115" s="163"/>
      <c r="AO115" s="160"/>
      <c r="AP115" s="160"/>
      <c r="AQ115" s="161"/>
      <c r="AR115" s="163"/>
      <c r="AS115" s="160"/>
      <c r="AT115" s="160"/>
      <c r="AU115" s="160"/>
      <c r="AV115" s="161"/>
      <c r="AW115" s="163"/>
      <c r="AX115" s="160"/>
      <c r="AY115" s="160"/>
      <c r="AZ115" s="161"/>
      <c r="BA115" s="163"/>
      <c r="BB115" s="160"/>
      <c r="BC115" s="160"/>
      <c r="BD115" s="161"/>
      <c r="BE115" s="163"/>
      <c r="BF115" s="165"/>
      <c r="BG115" s="165"/>
      <c r="BH115" s="160"/>
      <c r="BI115" s="161"/>
      <c r="BJ115" s="162"/>
      <c r="BK115" s="164"/>
      <c r="BL115" s="160"/>
      <c r="BM115" s="165"/>
      <c r="BN115" s="163"/>
      <c r="BO115" s="160"/>
      <c r="BP115" s="160"/>
      <c r="BQ115" s="161"/>
      <c r="BR115" s="162"/>
      <c r="BS115" s="160"/>
      <c r="BT115" s="160"/>
      <c r="BU115" s="160"/>
      <c r="BV115" s="165"/>
      <c r="BW115" s="163"/>
      <c r="BX115" s="160"/>
      <c r="BY115" s="160"/>
      <c r="BZ115" s="161"/>
      <c r="CA115" s="162"/>
      <c r="CB115" s="160"/>
      <c r="CC115" s="160"/>
      <c r="CD115" s="161"/>
      <c r="CE115" s="166"/>
      <c r="CF115" s="162"/>
      <c r="CG115" s="167"/>
      <c r="CH115" s="167"/>
      <c r="CI115" s="168"/>
      <c r="CJ115" s="163"/>
      <c r="CK115" s="167"/>
      <c r="CL115" s="167"/>
      <c r="CM115" s="169"/>
      <c r="CN115" s="145"/>
      <c r="CO115" s="145"/>
      <c r="CP115" s="145"/>
      <c r="CQ115" s="145"/>
      <c r="CR115" s="146"/>
      <c r="CS115" s="145"/>
      <c r="CT115" s="145"/>
      <c r="CU115" s="145"/>
      <c r="CV115" s="147"/>
      <c r="CW115" s="146"/>
      <c r="CX115" s="145"/>
      <c r="CY115" s="145"/>
      <c r="CZ115" s="148"/>
      <c r="DA115" s="146"/>
      <c r="DB115" s="145"/>
      <c r="DC115" s="145"/>
      <c r="DD115" s="145"/>
      <c r="DE115" s="146"/>
      <c r="DF115" s="145"/>
      <c r="DG115" s="145"/>
      <c r="DH115" s="145"/>
      <c r="DI115" s="145"/>
      <c r="DJ115" s="146"/>
      <c r="DK115" s="147"/>
      <c r="DL115" s="145"/>
      <c r="DM115" s="148"/>
      <c r="DN115" s="146"/>
      <c r="DO115" s="145"/>
      <c r="DP115" s="145"/>
      <c r="DQ115" s="145"/>
      <c r="DR115" s="145"/>
      <c r="DS115" s="146"/>
      <c r="DT115" s="145"/>
      <c r="DU115" s="145"/>
      <c r="DV115" s="145"/>
      <c r="DW115" s="145"/>
      <c r="DX115" s="145"/>
      <c r="DY115" s="145"/>
      <c r="DZ115" s="145"/>
      <c r="EA115" s="146"/>
      <c r="EB115" s="145"/>
      <c r="EC115" s="145"/>
      <c r="ED115" s="145"/>
      <c r="EE115" s="147"/>
      <c r="EF115" s="146"/>
      <c r="EG115" s="145"/>
      <c r="EH115" s="145"/>
      <c r="EI115" s="145"/>
      <c r="EJ115" s="146"/>
      <c r="EK115" s="145"/>
      <c r="EL115" s="145"/>
      <c r="EM115" s="145"/>
      <c r="EN115" s="146"/>
      <c r="EO115" s="145"/>
      <c r="EP115" s="145"/>
      <c r="EQ115" s="145"/>
      <c r="ER115" s="148"/>
      <c r="ES115" s="145"/>
      <c r="ET115" s="145"/>
      <c r="EU115" s="145"/>
      <c r="EV115" s="147"/>
      <c r="EW115" s="146"/>
      <c r="EX115" s="145"/>
      <c r="EY115" s="145"/>
      <c r="EZ115" s="148"/>
      <c r="FA115" s="145"/>
      <c r="FB115" s="145"/>
      <c r="FC115" s="145"/>
      <c r="FD115" s="145"/>
      <c r="FE115" s="145"/>
      <c r="FF115" s="146"/>
      <c r="FG115" s="145"/>
      <c r="FH115" s="145"/>
      <c r="FI115" s="148"/>
      <c r="FJ115" s="145"/>
      <c r="FK115" s="147"/>
      <c r="FL115" s="145"/>
      <c r="FM115" s="145"/>
      <c r="FN115" s="146"/>
      <c r="FO115" s="145"/>
      <c r="FP115" s="145"/>
      <c r="FQ115" s="145"/>
      <c r="FR115" s="148"/>
      <c r="FS115" s="145"/>
      <c r="FT115" s="145"/>
      <c r="FU115" s="145"/>
      <c r="FV115" s="145"/>
      <c r="FW115" s="146"/>
      <c r="FX115" s="145"/>
      <c r="FY115" s="145"/>
      <c r="FZ115" s="148"/>
      <c r="GA115" s="146"/>
      <c r="GB115" s="145"/>
      <c r="GC115" s="145"/>
      <c r="GD115" s="145"/>
      <c r="GE115" s="149"/>
      <c r="GF115" s="145"/>
      <c r="GG115" s="145"/>
      <c r="GH115" s="145"/>
      <c r="GI115" s="145"/>
      <c r="GJ115" s="146"/>
      <c r="GK115" s="145"/>
      <c r="GL115" s="145"/>
      <c r="GM115" s="148"/>
      <c r="GN115" s="145"/>
      <c r="GO115" s="145"/>
      <c r="GP115" s="145"/>
      <c r="GQ115" s="145"/>
      <c r="GR115" s="145"/>
      <c r="GS115" s="146"/>
      <c r="GT115" s="145"/>
      <c r="GU115" s="145"/>
      <c r="GV115" s="148"/>
      <c r="GW115" s="145"/>
      <c r="GX115" s="145"/>
      <c r="GY115" s="145"/>
      <c r="GZ115" s="145"/>
      <c r="HA115" s="146"/>
      <c r="HB115" s="145"/>
      <c r="HC115" s="145"/>
      <c r="HD115" s="145"/>
      <c r="HE115" s="148"/>
      <c r="HF115" s="145"/>
      <c r="HG115" s="145"/>
      <c r="HH115" s="145"/>
      <c r="HI115" s="145"/>
      <c r="HJ115" s="146"/>
      <c r="HK115" s="145"/>
      <c r="HL115" s="145"/>
      <c r="HM115" s="148"/>
      <c r="HN115" s="145"/>
      <c r="HO115" s="145"/>
      <c r="HP115" s="145"/>
      <c r="HQ115" s="145"/>
      <c r="HR115" s="145"/>
      <c r="HS115" s="146"/>
      <c r="HT115" s="145"/>
      <c r="HU115" s="145"/>
      <c r="HV115" s="148"/>
      <c r="HW115" s="145"/>
      <c r="HX115" s="145"/>
      <c r="HY115" s="145"/>
      <c r="HZ115" s="145"/>
      <c r="IA115" s="146"/>
      <c r="IB115" s="145"/>
      <c r="IC115" s="145"/>
      <c r="ID115" s="145"/>
      <c r="IE115" s="147"/>
      <c r="IF115" s="146"/>
      <c r="IG115" s="145"/>
      <c r="IH115" s="145"/>
      <c r="II115" s="148"/>
      <c r="IJ115" s="145"/>
      <c r="IK115" s="145"/>
      <c r="IL115" s="145"/>
      <c r="IM115" s="145"/>
      <c r="IN115" s="146"/>
      <c r="IO115" s="145"/>
      <c r="IP115" s="145"/>
      <c r="IQ115" s="145"/>
      <c r="IR115" s="148"/>
      <c r="IS115" s="145"/>
      <c r="IT115" s="145"/>
      <c r="IU115" s="145"/>
      <c r="IV115" s="145"/>
      <c r="IW115" s="146"/>
      <c r="IX115" s="145"/>
      <c r="IY115" s="145"/>
      <c r="IZ115" s="148"/>
      <c r="JA115" s="145"/>
      <c r="JB115" s="145"/>
      <c r="JC115" s="145"/>
      <c r="JD115" s="145"/>
      <c r="JE115" s="145"/>
      <c r="JF115" s="146"/>
      <c r="JG115" s="145"/>
      <c r="JH115" s="145"/>
      <c r="JI115" s="148"/>
      <c r="JJ115" s="145"/>
      <c r="JK115" s="145"/>
      <c r="JL115" s="145"/>
      <c r="JM115" s="145"/>
      <c r="JN115" s="146"/>
      <c r="JO115" s="145"/>
      <c r="JP115" s="145"/>
      <c r="JQ115" s="145"/>
      <c r="JR115" s="148"/>
      <c r="JS115" s="145"/>
      <c r="JT115" s="145"/>
      <c r="JU115" s="145"/>
      <c r="JV115" s="145"/>
      <c r="JW115" s="146"/>
      <c r="JX115" s="145"/>
      <c r="JY115" s="145"/>
      <c r="JZ115" s="148"/>
      <c r="KA115" s="145"/>
      <c r="KB115" s="145"/>
      <c r="KC115" s="145"/>
      <c r="KD115" s="149"/>
      <c r="KE115" s="146"/>
      <c r="KF115" s="145"/>
      <c r="KG115" s="145"/>
      <c r="KH115" s="148"/>
    </row>
    <row r="116" spans="2:294" ht="22.8" thickTop="1">
      <c r="B116" s="127"/>
      <c r="C116" s="257"/>
      <c r="D116" s="129"/>
      <c r="E116" s="130"/>
      <c r="F116" s="131"/>
      <c r="G116" s="131"/>
      <c r="H116" s="131"/>
      <c r="I116" s="132"/>
      <c r="J116" s="133"/>
      <c r="K116" s="131"/>
      <c r="L116" s="131"/>
      <c r="M116" s="132"/>
      <c r="N116" s="134"/>
      <c r="O116" s="131"/>
      <c r="P116" s="131"/>
      <c r="Q116" s="132"/>
      <c r="R116" s="134"/>
      <c r="S116" s="131"/>
      <c r="T116" s="131"/>
      <c r="U116" s="132"/>
      <c r="V116" s="130"/>
      <c r="W116" s="131"/>
      <c r="X116" s="131"/>
      <c r="Y116" s="131"/>
      <c r="Z116" s="132"/>
      <c r="AA116" s="134"/>
      <c r="AB116" s="131"/>
      <c r="AC116" s="131"/>
      <c r="AD116" s="132"/>
      <c r="AE116" s="134"/>
      <c r="AF116" s="131"/>
      <c r="AG116" s="131"/>
      <c r="AH116" s="132"/>
      <c r="AI116" s="134"/>
      <c r="AJ116" s="131"/>
      <c r="AK116" s="135"/>
      <c r="AL116" s="131"/>
      <c r="AM116" s="132"/>
      <c r="AN116" s="134"/>
      <c r="AO116" s="131"/>
      <c r="AP116" s="131"/>
      <c r="AQ116" s="132"/>
      <c r="AR116" s="134"/>
      <c r="AS116" s="131"/>
      <c r="AT116" s="131"/>
      <c r="AU116" s="131"/>
      <c r="AV116" s="132"/>
      <c r="AW116" s="134"/>
      <c r="AX116" s="131"/>
      <c r="AY116" s="131"/>
      <c r="AZ116" s="132"/>
      <c r="BA116" s="134"/>
      <c r="BB116" s="131"/>
      <c r="BC116" s="131"/>
      <c r="BD116" s="132"/>
      <c r="BE116" s="134"/>
      <c r="BF116" s="136"/>
      <c r="BG116" s="136"/>
      <c r="BH116" s="131"/>
      <c r="BI116" s="132"/>
      <c r="BJ116" s="133"/>
      <c r="BK116" s="135"/>
      <c r="BL116" s="131"/>
      <c r="BM116" s="136"/>
      <c r="BN116" s="134"/>
      <c r="BO116" s="131"/>
      <c r="BP116" s="131"/>
      <c r="BQ116" s="132"/>
      <c r="BR116" s="133"/>
      <c r="BS116" s="131"/>
      <c r="BT116" s="131"/>
      <c r="BU116" s="131"/>
      <c r="BV116" s="136"/>
      <c r="BW116" s="134"/>
      <c r="BX116" s="131"/>
      <c r="BY116" s="131"/>
      <c r="BZ116" s="132"/>
      <c r="CA116" s="133"/>
      <c r="CB116" s="131"/>
      <c r="CC116" s="131"/>
      <c r="CD116" s="132"/>
      <c r="CE116" s="137"/>
      <c r="CF116" s="133"/>
      <c r="CG116" s="138"/>
      <c r="CH116" s="138"/>
      <c r="CI116" s="139"/>
      <c r="CJ116" s="134"/>
      <c r="CK116" s="138"/>
      <c r="CL116" s="138"/>
      <c r="CM116" s="140"/>
      <c r="CN116" s="151"/>
      <c r="CO116" s="151"/>
      <c r="CP116" s="151"/>
      <c r="CQ116" s="151"/>
      <c r="CR116" s="150"/>
      <c r="CS116" s="151"/>
      <c r="CT116" s="151"/>
      <c r="CU116" s="151"/>
      <c r="CV116" s="152"/>
      <c r="CW116" s="150"/>
      <c r="CX116" s="153"/>
      <c r="CY116" s="151"/>
      <c r="CZ116" s="154"/>
      <c r="DA116" s="155"/>
      <c r="DB116" s="236"/>
      <c r="DC116" s="151"/>
      <c r="DD116" s="151"/>
      <c r="DE116" s="150"/>
      <c r="DF116" s="151"/>
      <c r="DG116" s="151"/>
      <c r="DH116" s="151"/>
      <c r="DI116" s="151"/>
      <c r="DJ116" s="150"/>
      <c r="DK116" s="152"/>
      <c r="DL116" s="151"/>
      <c r="DM116" s="154"/>
      <c r="DN116" s="150"/>
      <c r="DO116" s="151"/>
      <c r="DP116" s="151"/>
      <c r="DQ116" s="151"/>
      <c r="DR116" s="151"/>
      <c r="DS116" s="150"/>
      <c r="DT116" s="236"/>
      <c r="DU116" s="151"/>
      <c r="DV116" s="151"/>
      <c r="DW116" s="151"/>
      <c r="DX116" s="151"/>
      <c r="DY116" s="151"/>
      <c r="DZ116" s="151"/>
      <c r="EA116" s="237"/>
      <c r="EB116" s="151"/>
      <c r="EC116" s="151"/>
      <c r="ED116" s="151"/>
      <c r="EE116" s="152"/>
      <c r="EF116" s="150"/>
      <c r="EG116" s="151"/>
      <c r="EH116" s="151"/>
      <c r="EI116" s="151"/>
      <c r="EJ116" s="150"/>
      <c r="EK116" s="151"/>
      <c r="EL116" s="151"/>
      <c r="EM116" s="151"/>
      <c r="EN116" s="150"/>
      <c r="EO116" s="151"/>
      <c r="EP116" s="151"/>
      <c r="EQ116" s="151"/>
      <c r="ER116" s="154"/>
      <c r="ES116" s="151"/>
      <c r="ET116" s="151"/>
      <c r="EU116" s="151"/>
      <c r="EV116" s="152"/>
      <c r="EW116" s="150"/>
      <c r="EX116" s="151"/>
      <c r="EY116" s="151"/>
      <c r="EZ116" s="154"/>
      <c r="FA116" s="151"/>
      <c r="FB116" s="151"/>
      <c r="FC116" s="151"/>
      <c r="FD116" s="151"/>
      <c r="FE116" s="151"/>
      <c r="FF116" s="237"/>
      <c r="FG116" s="151"/>
      <c r="FH116" s="151"/>
      <c r="FI116" s="154"/>
      <c r="FJ116" s="151"/>
      <c r="FK116" s="152"/>
      <c r="FL116" s="151"/>
      <c r="FM116" s="151"/>
      <c r="FN116" s="237"/>
      <c r="FO116" s="151"/>
      <c r="FP116" s="151"/>
      <c r="FQ116" s="151"/>
      <c r="FR116" s="154"/>
      <c r="FS116" s="151"/>
      <c r="FT116" s="151"/>
      <c r="FU116" s="151"/>
      <c r="FV116" s="151"/>
      <c r="FW116" s="150"/>
      <c r="FX116" s="151"/>
      <c r="FY116" s="151"/>
      <c r="FZ116" s="154"/>
      <c r="GA116" s="150"/>
      <c r="GB116" s="151"/>
      <c r="GC116" s="151"/>
      <c r="GD116" s="151"/>
      <c r="GE116" s="156"/>
      <c r="GJ116" s="124"/>
      <c r="GM116" s="126"/>
      <c r="GS116" s="124"/>
      <c r="GV116" s="126"/>
      <c r="HA116" s="124"/>
      <c r="HE116" s="126"/>
      <c r="HJ116" s="124"/>
      <c r="HM116" s="126"/>
      <c r="HS116" s="124"/>
      <c r="HV116" s="126"/>
      <c r="IA116" s="124"/>
      <c r="IE116" s="125"/>
      <c r="IF116" s="124"/>
      <c r="II116" s="126"/>
      <c r="IN116" s="124"/>
      <c r="IR116" s="126"/>
      <c r="IW116" s="124"/>
      <c r="IZ116" s="126"/>
      <c r="JF116" s="124"/>
      <c r="JI116" s="126"/>
      <c r="JN116" s="124"/>
      <c r="JR116" s="126"/>
      <c r="JW116" s="124"/>
      <c r="JZ116" s="126"/>
      <c r="KD116" s="141"/>
      <c r="KE116" s="124"/>
      <c r="KH116" s="126"/>
    </row>
    <row r="117" spans="2:294" ht="18.600000000000001">
      <c r="B117" s="127"/>
      <c r="C117" s="257" t="s">
        <v>176</v>
      </c>
      <c r="D117" s="129"/>
      <c r="E117" s="130"/>
      <c r="F117" s="131"/>
      <c r="G117" s="131"/>
      <c r="H117" s="131"/>
      <c r="I117" s="132"/>
      <c r="J117" s="133"/>
      <c r="K117" s="131"/>
      <c r="L117" s="131"/>
      <c r="M117" s="132"/>
      <c r="N117" s="134"/>
      <c r="O117" s="131"/>
      <c r="P117" s="131"/>
      <c r="Q117" s="132"/>
      <c r="R117" s="134"/>
      <c r="S117" s="131"/>
      <c r="T117" s="131"/>
      <c r="U117" s="132"/>
      <c r="V117" s="130"/>
      <c r="W117" s="131"/>
      <c r="X117" s="131"/>
      <c r="Y117" s="131"/>
      <c r="Z117" s="132"/>
      <c r="AA117" s="134"/>
      <c r="AB117" s="131"/>
      <c r="AC117" s="131"/>
      <c r="AD117" s="132"/>
      <c r="AE117" s="134"/>
      <c r="AF117" s="131"/>
      <c r="AG117" s="131"/>
      <c r="AH117" s="132"/>
      <c r="AI117" s="134"/>
      <c r="AJ117" s="131"/>
      <c r="AK117" s="135"/>
      <c r="AL117" s="131"/>
      <c r="AM117" s="132"/>
      <c r="AN117" s="134"/>
      <c r="AO117" s="131"/>
      <c r="AP117" s="131"/>
      <c r="AQ117" s="132"/>
      <c r="AR117" s="134"/>
      <c r="AS117" s="131"/>
      <c r="AT117" s="131"/>
      <c r="AU117" s="131"/>
      <c r="AV117" s="132"/>
      <c r="AW117" s="134"/>
      <c r="AX117" s="131"/>
      <c r="AY117" s="131"/>
      <c r="AZ117" s="132"/>
      <c r="BA117" s="134"/>
      <c r="BB117" s="131"/>
      <c r="BC117" s="131"/>
      <c r="BD117" s="132"/>
      <c r="BE117" s="134"/>
      <c r="BF117" s="136"/>
      <c r="BG117" s="136"/>
      <c r="BH117" s="131"/>
      <c r="BI117" s="132"/>
      <c r="BJ117" s="133"/>
      <c r="BK117" s="135"/>
      <c r="BL117" s="131"/>
      <c r="BM117" s="136"/>
      <c r="BN117" s="134"/>
      <c r="BO117" s="131"/>
      <c r="BP117" s="131"/>
      <c r="BQ117" s="132"/>
      <c r="BR117" s="133"/>
      <c r="BS117" s="131"/>
      <c r="BT117" s="131"/>
      <c r="BU117" s="131"/>
      <c r="BV117" s="136"/>
      <c r="BW117" s="134"/>
      <c r="BX117" s="131"/>
      <c r="BY117" s="131"/>
      <c r="BZ117" s="132"/>
      <c r="CA117" s="133"/>
      <c r="CB117" s="131"/>
      <c r="CC117" s="131"/>
      <c r="CD117" s="132"/>
      <c r="CE117" s="137"/>
      <c r="CF117" s="133"/>
      <c r="CG117" s="138"/>
      <c r="CH117" s="138"/>
      <c r="CI117" s="139"/>
      <c r="CJ117" s="134"/>
      <c r="CK117" s="138"/>
      <c r="CL117" s="138"/>
      <c r="CM117" s="140"/>
      <c r="CR117" s="124"/>
      <c r="CV117" s="125"/>
      <c r="CW117" s="124"/>
      <c r="CZ117" s="126"/>
      <c r="DA117" s="124"/>
      <c r="DE117" s="124"/>
      <c r="DJ117" s="124"/>
      <c r="DK117" s="125"/>
      <c r="DM117" s="126"/>
      <c r="DN117" s="124"/>
      <c r="DS117" s="124"/>
      <c r="EA117" s="124"/>
      <c r="EE117" s="125"/>
      <c r="EF117" s="124"/>
      <c r="EJ117" s="124"/>
      <c r="EN117" s="124"/>
      <c r="ER117" s="126"/>
      <c r="EV117" s="125"/>
      <c r="EW117" s="124"/>
      <c r="EZ117" s="126"/>
      <c r="FF117" s="124"/>
      <c r="FI117" s="126"/>
      <c r="FK117" s="125"/>
      <c r="FN117" s="124"/>
      <c r="FR117" s="126"/>
      <c r="FW117" s="124"/>
      <c r="FZ117" s="126"/>
      <c r="GA117" s="124"/>
      <c r="GE117" s="141"/>
      <c r="GJ117" s="124"/>
      <c r="GM117" s="126"/>
      <c r="GS117" s="124"/>
      <c r="GV117" s="126"/>
      <c r="HA117" s="124"/>
      <c r="HE117" s="126"/>
      <c r="HJ117" s="124"/>
      <c r="HM117" s="126"/>
      <c r="HS117" s="124"/>
      <c r="HV117" s="126"/>
      <c r="IA117" s="124"/>
      <c r="IE117" s="125"/>
      <c r="IF117" s="124"/>
      <c r="II117" s="126"/>
      <c r="IN117" s="124"/>
      <c r="IR117" s="126"/>
      <c r="IW117" s="124"/>
      <c r="IZ117" s="126"/>
      <c r="JF117" s="124"/>
      <c r="JI117" s="126"/>
      <c r="JN117" s="124"/>
      <c r="JR117" s="126"/>
      <c r="JW117" s="124"/>
      <c r="JZ117" s="126"/>
      <c r="KD117" s="141"/>
      <c r="KE117" s="124"/>
      <c r="KH117" s="126"/>
    </row>
    <row r="118" spans="2:294" ht="18.600000000000001">
      <c r="B118" s="127"/>
      <c r="C118" s="259" t="s">
        <v>219</v>
      </c>
      <c r="D118" s="129" t="s">
        <v>186</v>
      </c>
      <c r="E118" s="130"/>
      <c r="F118" s="131"/>
      <c r="G118" s="131"/>
      <c r="H118" s="131"/>
      <c r="I118" s="132"/>
      <c r="J118" s="133"/>
      <c r="K118" s="131"/>
      <c r="L118" s="131"/>
      <c r="M118" s="132"/>
      <c r="N118" s="134"/>
      <c r="O118" s="131"/>
      <c r="P118" s="131"/>
      <c r="Q118" s="132"/>
      <c r="R118" s="134"/>
      <c r="S118" s="131"/>
      <c r="T118" s="131"/>
      <c r="U118" s="132"/>
      <c r="V118" s="130"/>
      <c r="W118" s="131"/>
      <c r="X118" s="131"/>
      <c r="Y118" s="131"/>
      <c r="Z118" s="132"/>
      <c r="AA118" s="134"/>
      <c r="AB118" s="131"/>
      <c r="AC118" s="131"/>
      <c r="AD118" s="132"/>
      <c r="AE118" s="134"/>
      <c r="AF118" s="131"/>
      <c r="AG118" s="131"/>
      <c r="AH118" s="132"/>
      <c r="AI118" s="134"/>
      <c r="AJ118" s="131"/>
      <c r="AK118" s="135"/>
      <c r="AL118" s="131"/>
      <c r="AM118" s="132"/>
      <c r="AN118" s="134"/>
      <c r="AO118" s="131"/>
      <c r="AP118" s="131"/>
      <c r="AQ118" s="132"/>
      <c r="AR118" s="134"/>
      <c r="AS118" s="131"/>
      <c r="AT118" s="131"/>
      <c r="AU118" s="131"/>
      <c r="AV118" s="132"/>
      <c r="AW118" s="134"/>
      <c r="AX118" s="131"/>
      <c r="AY118" s="131"/>
      <c r="AZ118" s="132"/>
      <c r="BA118" s="134"/>
      <c r="BB118" s="131"/>
      <c r="BC118" s="131"/>
      <c r="BD118" s="132"/>
      <c r="BE118" s="134"/>
      <c r="BF118" s="136"/>
      <c r="BG118" s="136"/>
      <c r="BH118" s="131"/>
      <c r="BI118" s="132"/>
      <c r="BJ118" s="133"/>
      <c r="BK118" s="135"/>
      <c r="BL118" s="131"/>
      <c r="BM118" s="136"/>
      <c r="BN118" s="134"/>
      <c r="BO118" s="131"/>
      <c r="BP118" s="131"/>
      <c r="BQ118" s="132"/>
      <c r="BR118" s="133"/>
      <c r="BS118" s="131"/>
      <c r="BT118" s="131"/>
      <c r="BU118" s="131"/>
      <c r="BV118" s="136"/>
      <c r="BW118" s="134"/>
      <c r="BX118" s="131"/>
      <c r="BY118" s="131"/>
      <c r="BZ118" s="132"/>
      <c r="CA118" s="133"/>
      <c r="CB118" s="131"/>
      <c r="CC118" s="131"/>
      <c r="CD118" s="132"/>
      <c r="CE118" s="137"/>
      <c r="CF118" s="133"/>
      <c r="CG118" s="138"/>
      <c r="CH118" s="138"/>
      <c r="CI118" s="139"/>
      <c r="CJ118" s="134"/>
      <c r="CK118" s="138"/>
      <c r="CL118" s="138"/>
      <c r="CM118" s="140"/>
      <c r="CR118" s="124"/>
      <c r="CV118" s="125"/>
      <c r="CW118" s="124"/>
      <c r="CZ118" s="126"/>
      <c r="DA118" s="124"/>
      <c r="DE118" s="124"/>
      <c r="DJ118" s="124"/>
      <c r="DK118" s="125"/>
      <c r="DM118" s="126"/>
      <c r="DN118" s="124"/>
      <c r="DS118" s="124"/>
      <c r="EA118" s="124"/>
      <c r="EE118" s="125"/>
      <c r="EF118" s="124"/>
      <c r="EJ118" s="124"/>
      <c r="EN118" s="124"/>
      <c r="ER118" s="126"/>
      <c r="EV118" s="125"/>
      <c r="EW118" s="124"/>
      <c r="EZ118" s="126"/>
      <c r="FF118" s="124"/>
      <c r="FI118" s="126"/>
      <c r="FK118" s="125"/>
      <c r="FN118" s="124"/>
      <c r="FR118" s="126"/>
      <c r="FW118" s="124"/>
      <c r="FZ118" s="126"/>
      <c r="GA118" s="124"/>
      <c r="GE118" s="141"/>
      <c r="GJ118" s="124"/>
      <c r="GM118" s="126"/>
      <c r="GS118" s="124"/>
      <c r="GV118" s="126"/>
      <c r="HA118" s="124"/>
      <c r="HE118" s="126"/>
      <c r="HJ118" s="124"/>
      <c r="HM118" s="126"/>
      <c r="HS118" s="124"/>
      <c r="HV118" s="126"/>
      <c r="IA118" s="124"/>
      <c r="IE118" s="125"/>
      <c r="IF118" s="124"/>
      <c r="II118" s="126"/>
      <c r="IN118" s="124"/>
      <c r="IR118" s="126"/>
      <c r="IW118" s="124"/>
      <c r="IZ118" s="126"/>
      <c r="JF118" s="124"/>
      <c r="JI118" s="126"/>
      <c r="JN118" s="124"/>
      <c r="JR118" s="126"/>
      <c r="JW118" s="124"/>
      <c r="JZ118" s="126"/>
      <c r="KD118" s="141"/>
      <c r="KE118" s="124"/>
      <c r="KH118" s="126"/>
    </row>
    <row r="119" spans="2:294" ht="18.600000000000001">
      <c r="B119" s="127"/>
      <c r="C119" s="260"/>
      <c r="D119" s="129"/>
      <c r="E119" s="130"/>
      <c r="F119" s="131"/>
      <c r="G119" s="131"/>
      <c r="H119" s="131"/>
      <c r="I119" s="132"/>
      <c r="J119" s="133"/>
      <c r="K119" s="131"/>
      <c r="L119" s="131"/>
      <c r="M119" s="132"/>
      <c r="N119" s="134"/>
      <c r="O119" s="131"/>
      <c r="P119" s="131"/>
      <c r="Q119" s="132"/>
      <c r="R119" s="134"/>
      <c r="S119" s="131"/>
      <c r="T119" s="131"/>
      <c r="U119" s="132"/>
      <c r="V119" s="130"/>
      <c r="W119" s="131"/>
      <c r="X119" s="131"/>
      <c r="Y119" s="131"/>
      <c r="Z119" s="132"/>
      <c r="AA119" s="134"/>
      <c r="AB119" s="131"/>
      <c r="AC119" s="131"/>
      <c r="AD119" s="132"/>
      <c r="AE119" s="134"/>
      <c r="AF119" s="131"/>
      <c r="AG119" s="131"/>
      <c r="AH119" s="132"/>
      <c r="AI119" s="134"/>
      <c r="AJ119" s="131"/>
      <c r="AK119" s="135"/>
      <c r="AL119" s="131"/>
      <c r="AM119" s="132"/>
      <c r="AN119" s="134"/>
      <c r="AO119" s="131"/>
      <c r="AP119" s="131"/>
      <c r="AQ119" s="132"/>
      <c r="AR119" s="134"/>
      <c r="AS119" s="131"/>
      <c r="AT119" s="131"/>
      <c r="AU119" s="131"/>
      <c r="AV119" s="132"/>
      <c r="AW119" s="134"/>
      <c r="AX119" s="131"/>
      <c r="AY119" s="131"/>
      <c r="AZ119" s="132"/>
      <c r="BA119" s="134"/>
      <c r="BB119" s="131"/>
      <c r="BC119" s="131"/>
      <c r="BD119" s="132"/>
      <c r="BE119" s="134"/>
      <c r="BF119" s="136"/>
      <c r="BG119" s="136"/>
      <c r="BH119" s="131"/>
      <c r="BI119" s="132"/>
      <c r="BJ119" s="133"/>
      <c r="BK119" s="135"/>
      <c r="BL119" s="131"/>
      <c r="BM119" s="136"/>
      <c r="BN119" s="134"/>
      <c r="BO119" s="131"/>
      <c r="BP119" s="131"/>
      <c r="BQ119" s="132"/>
      <c r="BR119" s="133"/>
      <c r="BS119" s="131"/>
      <c r="BT119" s="131"/>
      <c r="BU119" s="131"/>
      <c r="BV119" s="136"/>
      <c r="BW119" s="134"/>
      <c r="BX119" s="131"/>
      <c r="BY119" s="131"/>
      <c r="BZ119" s="132"/>
      <c r="CA119" s="133"/>
      <c r="CB119" s="131"/>
      <c r="CC119" s="131"/>
      <c r="CD119" s="132"/>
      <c r="CE119" s="137"/>
      <c r="CF119" s="133"/>
      <c r="CG119" s="138"/>
      <c r="CH119" s="138"/>
      <c r="CI119" s="139"/>
      <c r="CJ119" s="134"/>
      <c r="CK119" s="138"/>
      <c r="CL119" s="138"/>
      <c r="CM119" s="140"/>
      <c r="CR119" s="124"/>
      <c r="CV119" s="125"/>
      <c r="CW119" s="124"/>
      <c r="CZ119" s="126"/>
      <c r="DA119" s="124"/>
      <c r="DE119" s="124"/>
      <c r="DJ119" s="124"/>
      <c r="DK119" s="125"/>
      <c r="DM119" s="126"/>
      <c r="DN119" s="124"/>
      <c r="DS119" s="124"/>
      <c r="EA119" s="124"/>
      <c r="EE119" s="125"/>
      <c r="EF119" s="124"/>
      <c r="EJ119" s="124"/>
      <c r="EN119" s="124"/>
      <c r="ER119" s="126"/>
      <c r="EV119" s="125"/>
      <c r="EW119" s="124"/>
      <c r="EZ119" s="126"/>
      <c r="FF119" s="124"/>
      <c r="FI119" s="126"/>
      <c r="FK119" s="125"/>
      <c r="FN119" s="124"/>
      <c r="FR119" s="126"/>
      <c r="FW119" s="124"/>
      <c r="FZ119" s="126"/>
      <c r="GA119" s="124"/>
      <c r="GE119" s="141"/>
      <c r="GJ119" s="124"/>
      <c r="GM119" s="126"/>
      <c r="GS119" s="124"/>
      <c r="GV119" s="126"/>
      <c r="HA119" s="124"/>
      <c r="HE119" s="126"/>
      <c r="HJ119" s="124"/>
      <c r="HM119" s="126"/>
      <c r="HS119" s="124"/>
      <c r="HV119" s="126"/>
      <c r="IA119" s="124"/>
      <c r="IE119" s="125"/>
      <c r="IF119" s="124"/>
      <c r="II119" s="126"/>
      <c r="IN119" s="124"/>
      <c r="IR119" s="126"/>
      <c r="IW119" s="124"/>
      <c r="IZ119" s="126"/>
      <c r="JF119" s="124"/>
      <c r="JI119" s="126"/>
      <c r="JN119" s="124"/>
      <c r="JR119" s="126"/>
      <c r="JW119" s="124"/>
      <c r="JZ119" s="126"/>
      <c r="KD119" s="141"/>
      <c r="KE119" s="124"/>
      <c r="KH119" s="126"/>
    </row>
    <row r="120" spans="2:294" ht="19.2" thickBot="1">
      <c r="B120" s="127"/>
      <c r="C120" s="261"/>
      <c r="D120" s="158"/>
      <c r="E120" s="159"/>
      <c r="F120" s="160"/>
      <c r="G120" s="160"/>
      <c r="H120" s="160"/>
      <c r="I120" s="161"/>
      <c r="J120" s="162"/>
      <c r="K120" s="160"/>
      <c r="L120" s="160"/>
      <c r="M120" s="161"/>
      <c r="N120" s="163"/>
      <c r="O120" s="160"/>
      <c r="P120" s="160"/>
      <c r="Q120" s="161"/>
      <c r="R120" s="163"/>
      <c r="S120" s="160"/>
      <c r="T120" s="160"/>
      <c r="U120" s="161"/>
      <c r="V120" s="159"/>
      <c r="W120" s="160"/>
      <c r="X120" s="160"/>
      <c r="Y120" s="160"/>
      <c r="Z120" s="161"/>
      <c r="AA120" s="163"/>
      <c r="AB120" s="160"/>
      <c r="AC120" s="160"/>
      <c r="AD120" s="161"/>
      <c r="AE120" s="163"/>
      <c r="AF120" s="160"/>
      <c r="AG120" s="160"/>
      <c r="AH120" s="161"/>
      <c r="AI120" s="163"/>
      <c r="AJ120" s="160"/>
      <c r="AK120" s="164"/>
      <c r="AL120" s="160"/>
      <c r="AM120" s="161"/>
      <c r="AN120" s="163"/>
      <c r="AO120" s="160"/>
      <c r="AP120" s="160"/>
      <c r="AQ120" s="161"/>
      <c r="AR120" s="163"/>
      <c r="AS120" s="160"/>
      <c r="AT120" s="160"/>
      <c r="AU120" s="160"/>
      <c r="AV120" s="161"/>
      <c r="AW120" s="163"/>
      <c r="AX120" s="160"/>
      <c r="AY120" s="160"/>
      <c r="AZ120" s="161"/>
      <c r="BA120" s="163"/>
      <c r="BB120" s="160"/>
      <c r="BC120" s="160"/>
      <c r="BD120" s="161"/>
      <c r="BE120" s="163"/>
      <c r="BF120" s="165"/>
      <c r="BG120" s="165"/>
      <c r="BH120" s="160"/>
      <c r="BI120" s="161"/>
      <c r="BJ120" s="162"/>
      <c r="BK120" s="164"/>
      <c r="BL120" s="160"/>
      <c r="BM120" s="165"/>
      <c r="BN120" s="163"/>
      <c r="BO120" s="160"/>
      <c r="BP120" s="160"/>
      <c r="BQ120" s="161"/>
      <c r="BR120" s="162"/>
      <c r="BS120" s="160"/>
      <c r="BT120" s="160"/>
      <c r="BU120" s="160"/>
      <c r="BV120" s="165"/>
      <c r="BW120" s="163"/>
      <c r="BX120" s="160"/>
      <c r="BY120" s="160"/>
      <c r="BZ120" s="161"/>
      <c r="CA120" s="162"/>
      <c r="CB120" s="160"/>
      <c r="CC120" s="160"/>
      <c r="CD120" s="161"/>
      <c r="CE120" s="166"/>
      <c r="CF120" s="162"/>
      <c r="CG120" s="167"/>
      <c r="CH120" s="167"/>
      <c r="CI120" s="168"/>
      <c r="CJ120" s="163"/>
      <c r="CK120" s="167"/>
      <c r="CL120" s="167"/>
      <c r="CM120" s="169"/>
      <c r="CN120" s="145"/>
      <c r="CO120" s="145"/>
      <c r="CP120" s="145"/>
      <c r="CQ120" s="145"/>
      <c r="CR120" s="146"/>
      <c r="CS120" s="145"/>
      <c r="CT120" s="145"/>
      <c r="CU120" s="145"/>
      <c r="CV120" s="147"/>
      <c r="CW120" s="146"/>
      <c r="CX120" s="145"/>
      <c r="CY120" s="145"/>
      <c r="CZ120" s="148"/>
      <c r="DA120" s="146"/>
      <c r="DB120" s="145"/>
      <c r="DC120" s="145"/>
      <c r="DD120" s="145"/>
      <c r="DE120" s="146"/>
      <c r="DF120" s="145"/>
      <c r="DG120" s="145"/>
      <c r="DH120" s="145"/>
      <c r="DI120" s="145"/>
      <c r="DJ120" s="146"/>
      <c r="DK120" s="147"/>
      <c r="DL120" s="145"/>
      <c r="DM120" s="148"/>
      <c r="DN120" s="146"/>
      <c r="DO120" s="145"/>
      <c r="DP120" s="145"/>
      <c r="DQ120" s="145"/>
      <c r="DR120" s="145"/>
      <c r="DS120" s="146"/>
      <c r="DT120" s="145"/>
      <c r="DU120" s="145"/>
      <c r="DV120" s="145"/>
      <c r="DW120" s="145"/>
      <c r="DX120" s="145"/>
      <c r="DY120" s="145"/>
      <c r="DZ120" s="145"/>
      <c r="EA120" s="146"/>
      <c r="EB120" s="145"/>
      <c r="EC120" s="145"/>
      <c r="ED120" s="145"/>
      <c r="EE120" s="147"/>
      <c r="EF120" s="146"/>
      <c r="EG120" s="145"/>
      <c r="EH120" s="145"/>
      <c r="EI120" s="145"/>
      <c r="EJ120" s="146"/>
      <c r="EK120" s="145"/>
      <c r="EL120" s="145"/>
      <c r="EM120" s="145"/>
      <c r="EN120" s="146"/>
      <c r="EO120" s="145"/>
      <c r="EP120" s="145"/>
      <c r="EQ120" s="145"/>
      <c r="ER120" s="148"/>
      <c r="ES120" s="145"/>
      <c r="ET120" s="145"/>
      <c r="EU120" s="145"/>
      <c r="EV120" s="147"/>
      <c r="EW120" s="146"/>
      <c r="EX120" s="145"/>
      <c r="EY120" s="145"/>
      <c r="EZ120" s="148"/>
      <c r="FA120" s="145"/>
      <c r="FB120" s="145"/>
      <c r="FC120" s="145"/>
      <c r="FD120" s="145"/>
      <c r="FE120" s="145"/>
      <c r="FF120" s="146"/>
      <c r="FG120" s="145"/>
      <c r="FH120" s="145"/>
      <c r="FI120" s="148"/>
      <c r="FJ120" s="145"/>
      <c r="FK120" s="147"/>
      <c r="FL120" s="145"/>
      <c r="FM120" s="145"/>
      <c r="FN120" s="146"/>
      <c r="FO120" s="145"/>
      <c r="FP120" s="145"/>
      <c r="FQ120" s="145"/>
      <c r="FR120" s="148"/>
      <c r="FS120" s="145"/>
      <c r="FT120" s="145"/>
      <c r="FU120" s="145"/>
      <c r="FV120" s="145"/>
      <c r="FW120" s="146"/>
      <c r="FX120" s="145"/>
      <c r="FY120" s="145"/>
      <c r="FZ120" s="148"/>
      <c r="GA120" s="146"/>
      <c r="GB120" s="145"/>
      <c r="GC120" s="145"/>
      <c r="GD120" s="145"/>
      <c r="GE120" s="149"/>
      <c r="GF120" s="145"/>
      <c r="GG120" s="145"/>
      <c r="GH120" s="145"/>
      <c r="GI120" s="145"/>
      <c r="GJ120" s="146"/>
      <c r="GK120" s="145"/>
      <c r="GL120" s="145"/>
      <c r="GM120" s="148"/>
      <c r="GN120" s="145"/>
      <c r="GO120" s="145"/>
      <c r="GP120" s="145"/>
      <c r="GQ120" s="145"/>
      <c r="GR120" s="145"/>
      <c r="GS120" s="146"/>
      <c r="GT120" s="145"/>
      <c r="GU120" s="145"/>
      <c r="GV120" s="148"/>
      <c r="GW120" s="145"/>
      <c r="GX120" s="145"/>
      <c r="GY120" s="145"/>
      <c r="GZ120" s="145"/>
      <c r="HA120" s="146"/>
      <c r="HB120" s="145"/>
      <c r="HC120" s="145"/>
      <c r="HD120" s="145"/>
      <c r="HE120" s="148"/>
      <c r="HF120" s="145"/>
      <c r="HG120" s="145"/>
      <c r="HH120" s="145"/>
      <c r="HI120" s="145"/>
      <c r="HJ120" s="146"/>
      <c r="HK120" s="145"/>
      <c r="HL120" s="145"/>
      <c r="HM120" s="148"/>
      <c r="HN120" s="145"/>
      <c r="HO120" s="145"/>
      <c r="HP120" s="145"/>
      <c r="HQ120" s="145"/>
      <c r="HR120" s="145"/>
      <c r="HS120" s="146"/>
      <c r="HT120" s="145"/>
      <c r="HU120" s="145"/>
      <c r="HV120" s="148"/>
      <c r="HW120" s="145"/>
      <c r="HX120" s="145"/>
      <c r="HY120" s="145"/>
      <c r="HZ120" s="145"/>
      <c r="IA120" s="146"/>
      <c r="IB120" s="145"/>
      <c r="IC120" s="145"/>
      <c r="ID120" s="145"/>
      <c r="IE120" s="147"/>
      <c r="IF120" s="146"/>
      <c r="IG120" s="145"/>
      <c r="IH120" s="145"/>
      <c r="II120" s="148"/>
      <c r="IJ120" s="145"/>
      <c r="IK120" s="145"/>
      <c r="IL120" s="145"/>
      <c r="IM120" s="145"/>
      <c r="IN120" s="146"/>
      <c r="IO120" s="145"/>
      <c r="IP120" s="145"/>
      <c r="IQ120" s="145"/>
      <c r="IR120" s="148"/>
      <c r="IS120" s="145"/>
      <c r="IT120" s="145"/>
      <c r="IU120" s="145"/>
      <c r="IV120" s="145"/>
      <c r="IW120" s="146"/>
      <c r="IX120" s="145"/>
      <c r="IY120" s="145"/>
      <c r="IZ120" s="148"/>
      <c r="JA120" s="145"/>
      <c r="JB120" s="145"/>
      <c r="JC120" s="145"/>
      <c r="JD120" s="145"/>
      <c r="JE120" s="145"/>
      <c r="JF120" s="146"/>
      <c r="JG120" s="145"/>
      <c r="JH120" s="145"/>
      <c r="JI120" s="148"/>
      <c r="JJ120" s="145"/>
      <c r="JK120" s="145"/>
      <c r="JL120" s="145"/>
      <c r="JM120" s="145"/>
      <c r="JN120" s="146"/>
      <c r="JO120" s="145"/>
      <c r="JP120" s="145"/>
      <c r="JQ120" s="145"/>
      <c r="JR120" s="148"/>
      <c r="JS120" s="145"/>
      <c r="JT120" s="145"/>
      <c r="JU120" s="145"/>
      <c r="JV120" s="145"/>
      <c r="JW120" s="146"/>
      <c r="JX120" s="145"/>
      <c r="JY120" s="145"/>
      <c r="JZ120" s="148"/>
      <c r="KA120" s="145"/>
      <c r="KB120" s="145"/>
      <c r="KC120" s="145"/>
      <c r="KD120" s="149"/>
      <c r="KE120" s="146"/>
      <c r="KF120" s="145"/>
      <c r="KG120" s="145"/>
      <c r="KH120" s="148"/>
    </row>
    <row r="121" spans="2:294" ht="22.8" thickTop="1">
      <c r="B121" s="127"/>
      <c r="C121" s="257"/>
      <c r="D121" s="129"/>
      <c r="E121" s="130"/>
      <c r="F121" s="131"/>
      <c r="G121" s="131"/>
      <c r="H121" s="131"/>
      <c r="I121" s="132"/>
      <c r="J121" s="133"/>
      <c r="K121" s="131"/>
      <c r="L121" s="131"/>
      <c r="M121" s="132"/>
      <c r="N121" s="134"/>
      <c r="O121" s="131"/>
      <c r="P121" s="131"/>
      <c r="Q121" s="132"/>
      <c r="R121" s="134"/>
      <c r="S121" s="131"/>
      <c r="T121" s="131"/>
      <c r="U121" s="132"/>
      <c r="V121" s="130"/>
      <c r="W121" s="131"/>
      <c r="X121" s="131"/>
      <c r="Y121" s="131"/>
      <c r="Z121" s="132"/>
      <c r="AA121" s="134"/>
      <c r="AB121" s="131"/>
      <c r="AC121" s="131"/>
      <c r="AD121" s="132"/>
      <c r="AE121" s="134"/>
      <c r="AF121" s="131"/>
      <c r="AG121" s="131"/>
      <c r="AH121" s="132"/>
      <c r="AI121" s="134"/>
      <c r="AJ121" s="131"/>
      <c r="AK121" s="135"/>
      <c r="AL121" s="131"/>
      <c r="AM121" s="132"/>
      <c r="AN121" s="134"/>
      <c r="AO121" s="131"/>
      <c r="AP121" s="131"/>
      <c r="AQ121" s="132"/>
      <c r="AR121" s="134"/>
      <c r="AS121" s="131"/>
      <c r="AT121" s="131"/>
      <c r="AU121" s="131"/>
      <c r="AV121" s="132"/>
      <c r="AW121" s="134"/>
      <c r="AX121" s="131"/>
      <c r="AY121" s="131"/>
      <c r="AZ121" s="132"/>
      <c r="BA121" s="134"/>
      <c r="BB121" s="131"/>
      <c r="BC121" s="131"/>
      <c r="BD121" s="132"/>
      <c r="BE121" s="134"/>
      <c r="BF121" s="136"/>
      <c r="BG121" s="136"/>
      <c r="BH121" s="131"/>
      <c r="BI121" s="132"/>
      <c r="BJ121" s="133"/>
      <c r="BK121" s="135"/>
      <c r="BL121" s="131"/>
      <c r="BM121" s="136"/>
      <c r="BN121" s="134"/>
      <c r="BO121" s="131"/>
      <c r="BP121" s="131"/>
      <c r="BQ121" s="132"/>
      <c r="BR121" s="133"/>
      <c r="BS121" s="131"/>
      <c r="BT121" s="131"/>
      <c r="BU121" s="131"/>
      <c r="BV121" s="136"/>
      <c r="BW121" s="134"/>
      <c r="BX121" s="131"/>
      <c r="BY121" s="131"/>
      <c r="BZ121" s="132"/>
      <c r="CA121" s="133"/>
      <c r="CB121" s="131"/>
      <c r="CC121" s="131"/>
      <c r="CD121" s="132"/>
      <c r="CE121" s="137"/>
      <c r="CF121" s="133"/>
      <c r="CG121" s="138"/>
      <c r="CH121" s="138"/>
      <c r="CI121" s="139"/>
      <c r="CJ121" s="134"/>
      <c r="CK121" s="138"/>
      <c r="CL121" s="138"/>
      <c r="CM121" s="140"/>
      <c r="CN121" s="151"/>
      <c r="CO121" s="151"/>
      <c r="CP121" s="151"/>
      <c r="CQ121" s="151"/>
      <c r="CR121" s="150"/>
      <c r="CS121" s="151"/>
      <c r="CT121" s="151"/>
      <c r="CU121" s="151"/>
      <c r="CV121" s="152"/>
      <c r="CW121" s="150"/>
      <c r="CX121" s="153"/>
      <c r="CY121" s="151"/>
      <c r="CZ121" s="154"/>
      <c r="DA121" s="155"/>
      <c r="DB121" s="236"/>
      <c r="DC121" s="151"/>
      <c r="DD121" s="151"/>
      <c r="DE121" s="150"/>
      <c r="DF121" s="151"/>
      <c r="DG121" s="151"/>
      <c r="DH121" s="151"/>
      <c r="DI121" s="151"/>
      <c r="DJ121" s="150"/>
      <c r="DK121" s="152"/>
      <c r="DL121" s="151"/>
      <c r="DM121" s="154"/>
      <c r="DN121" s="150"/>
      <c r="DO121" s="151"/>
      <c r="DP121" s="151"/>
      <c r="DQ121" s="151"/>
      <c r="DR121" s="151"/>
      <c r="DS121" s="150"/>
      <c r="DT121" s="236"/>
      <c r="DU121" s="151"/>
      <c r="DV121" s="151"/>
      <c r="DW121" s="151"/>
      <c r="DX121" s="151"/>
      <c r="DY121" s="151"/>
      <c r="DZ121" s="151"/>
      <c r="EA121" s="237"/>
      <c r="EB121" s="151"/>
      <c r="EC121" s="151"/>
      <c r="ED121" s="151"/>
      <c r="EE121" s="152"/>
      <c r="EF121" s="150"/>
      <c r="EG121" s="151"/>
      <c r="EH121" s="151"/>
      <c r="EI121" s="151"/>
      <c r="EJ121" s="150"/>
      <c r="EK121" s="151"/>
      <c r="EL121" s="151"/>
      <c r="EM121" s="151"/>
      <c r="EN121" s="150"/>
      <c r="EO121" s="151"/>
      <c r="EP121" s="151"/>
      <c r="EQ121" s="151"/>
      <c r="ER121" s="154"/>
      <c r="ES121" s="151"/>
      <c r="ET121" s="151"/>
      <c r="EU121" s="151"/>
      <c r="EV121" s="152"/>
      <c r="EW121" s="150"/>
      <c r="EX121" s="151"/>
      <c r="EY121" s="151"/>
      <c r="EZ121" s="154"/>
      <c r="FA121" s="151"/>
      <c r="FB121" s="151"/>
      <c r="FC121" s="151"/>
      <c r="FD121" s="151"/>
      <c r="FE121" s="151"/>
      <c r="FF121" s="237"/>
      <c r="FG121" s="151"/>
      <c r="FH121" s="151"/>
      <c r="FI121" s="154"/>
      <c r="FJ121" s="151"/>
      <c r="FK121" s="152"/>
      <c r="FL121" s="151"/>
      <c r="FM121" s="151"/>
      <c r="FN121" s="237"/>
      <c r="FO121" s="151"/>
      <c r="FP121" s="151"/>
      <c r="FQ121" s="151"/>
      <c r="FR121" s="154"/>
      <c r="FS121" s="151"/>
      <c r="FT121" s="151"/>
      <c r="FU121" s="151"/>
      <c r="FV121" s="151"/>
      <c r="FW121" s="150"/>
      <c r="FX121" s="151"/>
      <c r="FY121" s="151"/>
      <c r="FZ121" s="154"/>
      <c r="GA121" s="150"/>
      <c r="GB121" s="151"/>
      <c r="GC121" s="151"/>
      <c r="GD121" s="151"/>
      <c r="GE121" s="156"/>
      <c r="GJ121" s="124"/>
      <c r="GM121" s="126"/>
      <c r="GS121" s="124"/>
      <c r="GV121" s="126"/>
      <c r="HA121" s="124"/>
      <c r="HE121" s="126"/>
      <c r="HJ121" s="124"/>
      <c r="HM121" s="126"/>
      <c r="HS121" s="124"/>
      <c r="HV121" s="126"/>
      <c r="IA121" s="124"/>
      <c r="IE121" s="125"/>
      <c r="IF121" s="124"/>
      <c r="II121" s="126"/>
      <c r="IN121" s="124"/>
      <c r="IR121" s="126"/>
      <c r="IW121" s="124"/>
      <c r="IZ121" s="126"/>
      <c r="JF121" s="124"/>
      <c r="JI121" s="126"/>
      <c r="JN121" s="124"/>
      <c r="JR121" s="126"/>
      <c r="JW121" s="124"/>
      <c r="JZ121" s="126"/>
      <c r="KD121" s="141"/>
      <c r="KE121" s="124"/>
      <c r="KH121" s="126"/>
    </row>
    <row r="122" spans="2:294" ht="18.600000000000001">
      <c r="B122" s="127"/>
      <c r="C122" s="257" t="s">
        <v>164</v>
      </c>
      <c r="D122" s="129"/>
      <c r="E122" s="130"/>
      <c r="F122" s="131"/>
      <c r="G122" s="131"/>
      <c r="H122" s="131"/>
      <c r="I122" s="132"/>
      <c r="J122" s="133"/>
      <c r="K122" s="131"/>
      <c r="L122" s="131"/>
      <c r="M122" s="132"/>
      <c r="N122" s="134"/>
      <c r="O122" s="131"/>
      <c r="P122" s="131"/>
      <c r="Q122" s="132"/>
      <c r="R122" s="134"/>
      <c r="S122" s="131"/>
      <c r="T122" s="131"/>
      <c r="U122" s="132"/>
      <c r="V122" s="130"/>
      <c r="W122" s="131"/>
      <c r="X122" s="131"/>
      <c r="Y122" s="131"/>
      <c r="Z122" s="132"/>
      <c r="AA122" s="134"/>
      <c r="AB122" s="131"/>
      <c r="AC122" s="131"/>
      <c r="AD122" s="132"/>
      <c r="AE122" s="134"/>
      <c r="AF122" s="131"/>
      <c r="AG122" s="131"/>
      <c r="AH122" s="132"/>
      <c r="AI122" s="134"/>
      <c r="AJ122" s="131"/>
      <c r="AK122" s="135"/>
      <c r="AL122" s="131"/>
      <c r="AM122" s="132"/>
      <c r="AN122" s="134"/>
      <c r="AO122" s="131"/>
      <c r="AP122" s="131"/>
      <c r="AQ122" s="132"/>
      <c r="AR122" s="134"/>
      <c r="AS122" s="131"/>
      <c r="AT122" s="131"/>
      <c r="AU122" s="131"/>
      <c r="AV122" s="132"/>
      <c r="AW122" s="134"/>
      <c r="AX122" s="131"/>
      <c r="AY122" s="131"/>
      <c r="AZ122" s="132"/>
      <c r="BA122" s="134"/>
      <c r="BB122" s="131"/>
      <c r="BC122" s="131"/>
      <c r="BD122" s="132"/>
      <c r="BE122" s="134"/>
      <c r="BF122" s="136"/>
      <c r="BG122" s="136"/>
      <c r="BH122" s="131"/>
      <c r="BI122" s="132"/>
      <c r="BJ122" s="133"/>
      <c r="BK122" s="135"/>
      <c r="BL122" s="131"/>
      <c r="BM122" s="136"/>
      <c r="BN122" s="134"/>
      <c r="BO122" s="131"/>
      <c r="BP122" s="131"/>
      <c r="BQ122" s="132"/>
      <c r="BR122" s="133"/>
      <c r="BS122" s="131"/>
      <c r="BT122" s="131"/>
      <c r="BU122" s="131"/>
      <c r="BV122" s="136"/>
      <c r="BW122" s="134"/>
      <c r="BX122" s="131"/>
      <c r="BY122" s="131"/>
      <c r="BZ122" s="132"/>
      <c r="CA122" s="133"/>
      <c r="CB122" s="131"/>
      <c r="CC122" s="131"/>
      <c r="CD122" s="132"/>
      <c r="CE122" s="137"/>
      <c r="CF122" s="133"/>
      <c r="CG122" s="138"/>
      <c r="CH122" s="138"/>
      <c r="CI122" s="139"/>
      <c r="CJ122" s="134"/>
      <c r="CK122" s="138"/>
      <c r="CL122" s="138"/>
      <c r="CM122" s="140"/>
      <c r="CR122" s="124"/>
      <c r="CV122" s="125"/>
      <c r="CW122" s="124"/>
      <c r="CZ122" s="126"/>
      <c r="DA122" s="124"/>
      <c r="DE122" s="124"/>
      <c r="DJ122" s="124"/>
      <c r="DK122" s="125"/>
      <c r="DM122" s="126"/>
      <c r="DN122" s="124"/>
      <c r="DS122" s="124"/>
      <c r="EA122" s="124"/>
      <c r="EE122" s="125"/>
      <c r="EF122" s="124"/>
      <c r="EJ122" s="124"/>
      <c r="EN122" s="124"/>
      <c r="ER122" s="126"/>
      <c r="EV122" s="125"/>
      <c r="EW122" s="124"/>
      <c r="EZ122" s="126"/>
      <c r="FF122" s="124"/>
      <c r="FI122" s="126"/>
      <c r="FK122" s="125"/>
      <c r="FN122" s="124"/>
      <c r="FR122" s="126"/>
      <c r="FW122" s="124"/>
      <c r="FZ122" s="126"/>
      <c r="GA122" s="124"/>
      <c r="GE122" s="141"/>
      <c r="GJ122" s="124"/>
      <c r="GM122" s="126"/>
      <c r="GS122" s="124"/>
      <c r="GV122" s="126"/>
      <c r="HA122" s="124"/>
      <c r="HE122" s="126"/>
      <c r="HJ122" s="124"/>
      <c r="HM122" s="126"/>
      <c r="HS122" s="124"/>
      <c r="HV122" s="126"/>
      <c r="IA122" s="124"/>
      <c r="IE122" s="125"/>
      <c r="IF122" s="124"/>
      <c r="II122" s="126"/>
      <c r="IN122" s="124"/>
      <c r="IR122" s="126"/>
      <c r="IW122" s="124"/>
      <c r="IZ122" s="126"/>
      <c r="JF122" s="124"/>
      <c r="JI122" s="126"/>
      <c r="JN122" s="124"/>
      <c r="JR122" s="126"/>
      <c r="JW122" s="124"/>
      <c r="JZ122" s="126"/>
      <c r="KD122" s="141"/>
      <c r="KE122" s="124"/>
      <c r="KH122" s="126"/>
    </row>
    <row r="123" spans="2:294" ht="18.600000000000001">
      <c r="B123" s="127"/>
      <c r="C123" s="260" t="s">
        <v>220</v>
      </c>
      <c r="D123" s="129" t="s">
        <v>186</v>
      </c>
      <c r="E123" s="130"/>
      <c r="F123" s="131"/>
      <c r="G123" s="131"/>
      <c r="H123" s="131"/>
      <c r="I123" s="132"/>
      <c r="J123" s="133"/>
      <c r="K123" s="131"/>
      <c r="L123" s="131"/>
      <c r="M123" s="132"/>
      <c r="N123" s="134"/>
      <c r="O123" s="131"/>
      <c r="P123" s="131"/>
      <c r="Q123" s="132"/>
      <c r="R123" s="134"/>
      <c r="S123" s="131"/>
      <c r="T123" s="131"/>
      <c r="U123" s="132"/>
      <c r="V123" s="130"/>
      <c r="W123" s="131"/>
      <c r="X123" s="131"/>
      <c r="Y123" s="131"/>
      <c r="Z123" s="132"/>
      <c r="AA123" s="134"/>
      <c r="AB123" s="131"/>
      <c r="AC123" s="131"/>
      <c r="AD123" s="132"/>
      <c r="AE123" s="134"/>
      <c r="AF123" s="131"/>
      <c r="AG123" s="131"/>
      <c r="AH123" s="132"/>
      <c r="AI123" s="134"/>
      <c r="AJ123" s="131"/>
      <c r="AK123" s="135"/>
      <c r="AL123" s="131"/>
      <c r="AM123" s="132"/>
      <c r="AN123" s="134"/>
      <c r="AO123" s="131"/>
      <c r="AP123" s="131"/>
      <c r="AQ123" s="132"/>
      <c r="AR123" s="134"/>
      <c r="AS123" s="131"/>
      <c r="AT123" s="131"/>
      <c r="AU123" s="131"/>
      <c r="AV123" s="132"/>
      <c r="AW123" s="134"/>
      <c r="AX123" s="131"/>
      <c r="AY123" s="131"/>
      <c r="AZ123" s="132"/>
      <c r="BA123" s="134"/>
      <c r="BB123" s="131"/>
      <c r="BC123" s="131"/>
      <c r="BD123" s="132"/>
      <c r="BE123" s="134"/>
      <c r="BF123" s="136"/>
      <c r="BG123" s="136"/>
      <c r="BH123" s="131"/>
      <c r="BI123" s="132"/>
      <c r="BJ123" s="133"/>
      <c r="BK123" s="135"/>
      <c r="BL123" s="131"/>
      <c r="BM123" s="136"/>
      <c r="BN123" s="134"/>
      <c r="BO123" s="131"/>
      <c r="BP123" s="131"/>
      <c r="BQ123" s="132"/>
      <c r="BR123" s="133"/>
      <c r="BS123" s="131"/>
      <c r="BT123" s="131"/>
      <c r="BU123" s="131"/>
      <c r="BV123" s="136"/>
      <c r="BW123" s="134"/>
      <c r="BX123" s="131"/>
      <c r="BY123" s="131"/>
      <c r="BZ123" s="132"/>
      <c r="CA123" s="133"/>
      <c r="CB123" s="131"/>
      <c r="CC123" s="131"/>
      <c r="CD123" s="132"/>
      <c r="CE123" s="137"/>
      <c r="CF123" s="133"/>
      <c r="CG123" s="138"/>
      <c r="CH123" s="138"/>
      <c r="CI123" s="139"/>
      <c r="CJ123" s="134"/>
      <c r="CK123" s="138"/>
      <c r="CL123" s="138"/>
      <c r="CM123" s="140"/>
      <c r="CR123" s="124"/>
      <c r="CV123" s="125"/>
      <c r="CW123" s="124"/>
      <c r="CZ123" s="126"/>
      <c r="DA123" s="124"/>
      <c r="DE123" s="124"/>
      <c r="DJ123" s="124"/>
      <c r="DK123" s="125"/>
      <c r="DM123" s="126"/>
      <c r="DN123" s="124"/>
      <c r="DS123" s="124"/>
      <c r="EA123" s="124"/>
      <c r="EE123" s="125"/>
      <c r="EF123" s="124"/>
      <c r="EJ123" s="124"/>
      <c r="EN123" s="124"/>
      <c r="ER123" s="126"/>
      <c r="EV123" s="125"/>
      <c r="EW123" s="124"/>
      <c r="EZ123" s="126"/>
      <c r="FF123" s="124"/>
      <c r="FI123" s="126"/>
      <c r="FK123" s="125"/>
      <c r="FN123" s="124"/>
      <c r="FR123" s="126"/>
      <c r="FW123" s="124"/>
      <c r="FZ123" s="126"/>
      <c r="GA123" s="124"/>
      <c r="GE123" s="141"/>
      <c r="GJ123" s="124"/>
      <c r="GM123" s="126"/>
      <c r="GS123" s="124"/>
      <c r="GV123" s="126"/>
      <c r="HA123" s="124"/>
      <c r="HE123" s="126"/>
      <c r="HJ123" s="124"/>
      <c r="HM123" s="126"/>
      <c r="HS123" s="124"/>
      <c r="HV123" s="126"/>
      <c r="IA123" s="124"/>
      <c r="IE123" s="125"/>
      <c r="IF123" s="124"/>
      <c r="II123" s="126"/>
      <c r="IN123" s="124"/>
      <c r="IR123" s="126"/>
      <c r="IW123" s="124"/>
      <c r="IZ123" s="126"/>
      <c r="JF123" s="124"/>
      <c r="JI123" s="126"/>
      <c r="JN123" s="124"/>
      <c r="JR123" s="126"/>
      <c r="JW123" s="124"/>
      <c r="JZ123" s="126"/>
      <c r="KD123" s="141"/>
      <c r="KE123" s="124"/>
      <c r="KH123" s="126"/>
    </row>
    <row r="124" spans="2:294" ht="18.600000000000001">
      <c r="B124" s="127"/>
      <c r="C124" s="260"/>
      <c r="D124" s="129"/>
      <c r="E124" s="130"/>
      <c r="F124" s="131"/>
      <c r="G124" s="131"/>
      <c r="H124" s="131"/>
      <c r="I124" s="132"/>
      <c r="J124" s="133"/>
      <c r="K124" s="131"/>
      <c r="L124" s="131"/>
      <c r="M124" s="132"/>
      <c r="N124" s="134"/>
      <c r="O124" s="131"/>
      <c r="P124" s="131"/>
      <c r="Q124" s="132"/>
      <c r="R124" s="134"/>
      <c r="S124" s="131"/>
      <c r="T124" s="131"/>
      <c r="U124" s="132"/>
      <c r="V124" s="130"/>
      <c r="W124" s="131"/>
      <c r="X124" s="131"/>
      <c r="Y124" s="131"/>
      <c r="Z124" s="132"/>
      <c r="AA124" s="134"/>
      <c r="AB124" s="131"/>
      <c r="AC124" s="131"/>
      <c r="AD124" s="132"/>
      <c r="AE124" s="134"/>
      <c r="AF124" s="131"/>
      <c r="AG124" s="131"/>
      <c r="AH124" s="132"/>
      <c r="AI124" s="134"/>
      <c r="AJ124" s="131"/>
      <c r="AK124" s="135"/>
      <c r="AL124" s="131"/>
      <c r="AM124" s="132"/>
      <c r="AN124" s="134"/>
      <c r="AO124" s="131"/>
      <c r="AP124" s="131"/>
      <c r="AQ124" s="132"/>
      <c r="AR124" s="134"/>
      <c r="AS124" s="131"/>
      <c r="AT124" s="131"/>
      <c r="AU124" s="131"/>
      <c r="AV124" s="132"/>
      <c r="AW124" s="134"/>
      <c r="AX124" s="131"/>
      <c r="AY124" s="131"/>
      <c r="AZ124" s="132"/>
      <c r="BA124" s="134"/>
      <c r="BB124" s="131"/>
      <c r="BC124" s="131"/>
      <c r="BD124" s="132"/>
      <c r="BE124" s="134"/>
      <c r="BF124" s="136"/>
      <c r="BG124" s="136"/>
      <c r="BH124" s="131"/>
      <c r="BI124" s="132"/>
      <c r="BJ124" s="133"/>
      <c r="BK124" s="135"/>
      <c r="BL124" s="131"/>
      <c r="BM124" s="136"/>
      <c r="BN124" s="134"/>
      <c r="BO124" s="131"/>
      <c r="BP124" s="131"/>
      <c r="BQ124" s="132"/>
      <c r="BR124" s="133"/>
      <c r="BS124" s="131"/>
      <c r="BT124" s="131"/>
      <c r="BU124" s="131"/>
      <c r="BV124" s="136"/>
      <c r="BW124" s="134"/>
      <c r="BX124" s="131"/>
      <c r="BY124" s="131"/>
      <c r="BZ124" s="132"/>
      <c r="CA124" s="133"/>
      <c r="CB124" s="131"/>
      <c r="CC124" s="131"/>
      <c r="CD124" s="132"/>
      <c r="CE124" s="137"/>
      <c r="CF124" s="133"/>
      <c r="CG124" s="138"/>
      <c r="CH124" s="138"/>
      <c r="CI124" s="139"/>
      <c r="CJ124" s="134"/>
      <c r="CK124" s="138"/>
      <c r="CL124" s="138"/>
      <c r="CM124" s="140"/>
      <c r="CR124" s="124"/>
      <c r="CV124" s="125"/>
      <c r="CW124" s="124"/>
      <c r="CZ124" s="126"/>
      <c r="DA124" s="124"/>
      <c r="DE124" s="124"/>
      <c r="DJ124" s="124"/>
      <c r="DK124" s="125"/>
      <c r="DM124" s="126"/>
      <c r="DN124" s="124"/>
      <c r="DS124" s="124"/>
      <c r="EA124" s="124"/>
      <c r="EE124" s="125"/>
      <c r="EF124" s="124"/>
      <c r="EJ124" s="124"/>
      <c r="EN124" s="124"/>
      <c r="ER124" s="126"/>
      <c r="EV124" s="125"/>
      <c r="EW124" s="124"/>
      <c r="EZ124" s="126"/>
      <c r="FF124" s="124"/>
      <c r="FI124" s="126"/>
      <c r="FK124" s="125"/>
      <c r="FN124" s="124"/>
      <c r="FR124" s="126"/>
      <c r="FW124" s="124"/>
      <c r="FZ124" s="126"/>
      <c r="GA124" s="124"/>
      <c r="GE124" s="141"/>
      <c r="GJ124" s="124"/>
      <c r="GM124" s="126"/>
      <c r="GS124" s="124"/>
      <c r="GV124" s="126"/>
      <c r="HA124" s="124"/>
      <c r="HE124" s="126"/>
      <c r="HJ124" s="124"/>
      <c r="HM124" s="126"/>
      <c r="HS124" s="124"/>
      <c r="HV124" s="126"/>
      <c r="IA124" s="124"/>
      <c r="IE124" s="125"/>
      <c r="IF124" s="124"/>
      <c r="II124" s="126"/>
      <c r="IN124" s="124"/>
      <c r="IR124" s="126"/>
      <c r="IW124" s="124"/>
      <c r="IZ124" s="126"/>
      <c r="JF124" s="124"/>
      <c r="JI124" s="126"/>
      <c r="JN124" s="124"/>
      <c r="JR124" s="126"/>
      <c r="JW124" s="124"/>
      <c r="JZ124" s="126"/>
      <c r="KD124" s="141"/>
      <c r="KE124" s="124"/>
      <c r="KH124" s="126"/>
    </row>
    <row r="125" spans="2:294" ht="19.2" thickBot="1">
      <c r="B125" s="127"/>
      <c r="C125" s="261"/>
      <c r="D125" s="158"/>
      <c r="E125" s="159"/>
      <c r="F125" s="160"/>
      <c r="G125" s="160"/>
      <c r="H125" s="160"/>
      <c r="I125" s="161"/>
      <c r="J125" s="162"/>
      <c r="K125" s="160"/>
      <c r="L125" s="160"/>
      <c r="M125" s="161"/>
      <c r="N125" s="163"/>
      <c r="O125" s="160"/>
      <c r="P125" s="160"/>
      <c r="Q125" s="161"/>
      <c r="R125" s="163"/>
      <c r="S125" s="160"/>
      <c r="T125" s="160"/>
      <c r="U125" s="161"/>
      <c r="V125" s="159"/>
      <c r="W125" s="160"/>
      <c r="X125" s="160"/>
      <c r="Y125" s="160"/>
      <c r="Z125" s="161"/>
      <c r="AA125" s="163"/>
      <c r="AB125" s="160"/>
      <c r="AC125" s="160"/>
      <c r="AD125" s="161"/>
      <c r="AE125" s="163"/>
      <c r="AF125" s="160"/>
      <c r="AG125" s="160"/>
      <c r="AH125" s="161"/>
      <c r="AI125" s="163"/>
      <c r="AJ125" s="160"/>
      <c r="AK125" s="164"/>
      <c r="AL125" s="160"/>
      <c r="AM125" s="161"/>
      <c r="AN125" s="163"/>
      <c r="AO125" s="160"/>
      <c r="AP125" s="160"/>
      <c r="AQ125" s="161"/>
      <c r="AR125" s="163"/>
      <c r="AS125" s="160"/>
      <c r="AT125" s="160"/>
      <c r="AU125" s="160"/>
      <c r="AV125" s="161"/>
      <c r="AW125" s="163"/>
      <c r="AX125" s="160"/>
      <c r="AY125" s="160"/>
      <c r="AZ125" s="161"/>
      <c r="BA125" s="163"/>
      <c r="BB125" s="160"/>
      <c r="BC125" s="160"/>
      <c r="BD125" s="161"/>
      <c r="BE125" s="163"/>
      <c r="BF125" s="165"/>
      <c r="BG125" s="165"/>
      <c r="BH125" s="160"/>
      <c r="BI125" s="161"/>
      <c r="BJ125" s="162"/>
      <c r="BK125" s="164"/>
      <c r="BL125" s="160"/>
      <c r="BM125" s="165"/>
      <c r="BN125" s="163"/>
      <c r="BO125" s="160"/>
      <c r="BP125" s="160"/>
      <c r="BQ125" s="161"/>
      <c r="BR125" s="162"/>
      <c r="BS125" s="160"/>
      <c r="BT125" s="160"/>
      <c r="BU125" s="160"/>
      <c r="BV125" s="165"/>
      <c r="BW125" s="163"/>
      <c r="BX125" s="160"/>
      <c r="BY125" s="160"/>
      <c r="BZ125" s="161"/>
      <c r="CA125" s="162"/>
      <c r="CB125" s="160"/>
      <c r="CC125" s="160"/>
      <c r="CD125" s="161"/>
      <c r="CE125" s="166"/>
      <c r="CF125" s="162"/>
      <c r="CG125" s="167"/>
      <c r="CH125" s="167"/>
      <c r="CI125" s="168"/>
      <c r="CJ125" s="163"/>
      <c r="CK125" s="167"/>
      <c r="CL125" s="167"/>
      <c r="CM125" s="169"/>
      <c r="CN125" s="145"/>
      <c r="CO125" s="145"/>
      <c r="CP125" s="145"/>
      <c r="CQ125" s="145"/>
      <c r="CR125" s="146"/>
      <c r="CS125" s="145"/>
      <c r="CT125" s="145"/>
      <c r="CU125" s="145"/>
      <c r="CV125" s="147"/>
      <c r="CW125" s="146"/>
      <c r="CX125" s="145"/>
      <c r="CY125" s="145"/>
      <c r="CZ125" s="148"/>
      <c r="DA125" s="146"/>
      <c r="DB125" s="145"/>
      <c r="DC125" s="145"/>
      <c r="DD125" s="145"/>
      <c r="DE125" s="146"/>
      <c r="DF125" s="145"/>
      <c r="DG125" s="145"/>
      <c r="DH125" s="145"/>
      <c r="DI125" s="145"/>
      <c r="DJ125" s="146"/>
      <c r="DK125" s="147"/>
      <c r="DL125" s="145"/>
      <c r="DM125" s="148"/>
      <c r="DN125" s="146"/>
      <c r="DO125" s="145"/>
      <c r="DP125" s="145"/>
      <c r="DQ125" s="145"/>
      <c r="DR125" s="145"/>
      <c r="DS125" s="146"/>
      <c r="DT125" s="145"/>
      <c r="DU125" s="145"/>
      <c r="DV125" s="145"/>
      <c r="DW125" s="145"/>
      <c r="DX125" s="145"/>
      <c r="DY125" s="145"/>
      <c r="DZ125" s="145"/>
      <c r="EA125" s="146"/>
      <c r="EB125" s="145"/>
      <c r="EC125" s="145"/>
      <c r="ED125" s="145"/>
      <c r="EE125" s="147"/>
      <c r="EF125" s="146"/>
      <c r="EG125" s="145"/>
      <c r="EH125" s="145"/>
      <c r="EI125" s="145"/>
      <c r="EJ125" s="146"/>
      <c r="EK125" s="145"/>
      <c r="EL125" s="145"/>
      <c r="EM125" s="145"/>
      <c r="EN125" s="146"/>
      <c r="EO125" s="145"/>
      <c r="EP125" s="145"/>
      <c r="EQ125" s="145"/>
      <c r="ER125" s="148"/>
      <c r="ES125" s="145"/>
      <c r="ET125" s="145"/>
      <c r="EU125" s="145"/>
      <c r="EV125" s="147"/>
      <c r="EW125" s="146"/>
      <c r="EX125" s="145"/>
      <c r="EY125" s="145"/>
      <c r="EZ125" s="148"/>
      <c r="FA125" s="145"/>
      <c r="FB125" s="145"/>
      <c r="FC125" s="145"/>
      <c r="FD125" s="145"/>
      <c r="FE125" s="145"/>
      <c r="FF125" s="146"/>
      <c r="FG125" s="145"/>
      <c r="FH125" s="145"/>
      <c r="FI125" s="148"/>
      <c r="FJ125" s="145"/>
      <c r="FK125" s="147"/>
      <c r="FL125" s="145"/>
      <c r="FM125" s="145"/>
      <c r="FN125" s="146"/>
      <c r="FO125" s="145"/>
      <c r="FP125" s="145"/>
      <c r="FQ125" s="145"/>
      <c r="FR125" s="148"/>
      <c r="FS125" s="145"/>
      <c r="FT125" s="145"/>
      <c r="FU125" s="145"/>
      <c r="FV125" s="145"/>
      <c r="FW125" s="146"/>
      <c r="FX125" s="145"/>
      <c r="FY125" s="145"/>
      <c r="FZ125" s="148"/>
      <c r="GA125" s="146"/>
      <c r="GB125" s="145"/>
      <c r="GC125" s="145"/>
      <c r="GD125" s="145"/>
      <c r="GE125" s="149"/>
      <c r="GF125" s="145"/>
      <c r="GG125" s="145"/>
      <c r="GH125" s="145"/>
      <c r="GI125" s="145"/>
      <c r="GJ125" s="146"/>
      <c r="GK125" s="145"/>
      <c r="GL125" s="145"/>
      <c r="GM125" s="148"/>
      <c r="GN125" s="145"/>
      <c r="GO125" s="145"/>
      <c r="GP125" s="145"/>
      <c r="GQ125" s="145"/>
      <c r="GR125" s="145"/>
      <c r="GS125" s="146"/>
      <c r="GT125" s="145"/>
      <c r="GU125" s="145"/>
      <c r="GV125" s="148"/>
      <c r="GW125" s="145"/>
      <c r="GX125" s="145"/>
      <c r="GY125" s="145"/>
      <c r="GZ125" s="145"/>
      <c r="HA125" s="146"/>
      <c r="HB125" s="145"/>
      <c r="HC125" s="145"/>
      <c r="HD125" s="145"/>
      <c r="HE125" s="148"/>
      <c r="HF125" s="145"/>
      <c r="HG125" s="145"/>
      <c r="HH125" s="145"/>
      <c r="HI125" s="145"/>
      <c r="HJ125" s="146"/>
      <c r="HK125" s="145"/>
      <c r="HL125" s="145"/>
      <c r="HM125" s="148"/>
      <c r="HN125" s="145"/>
      <c r="HO125" s="145"/>
      <c r="HP125" s="145"/>
      <c r="HQ125" s="145"/>
      <c r="HR125" s="145"/>
      <c r="HS125" s="146"/>
      <c r="HT125" s="145"/>
      <c r="HU125" s="145"/>
      <c r="HV125" s="148"/>
      <c r="HW125" s="145"/>
      <c r="HX125" s="145"/>
      <c r="HY125" s="145"/>
      <c r="HZ125" s="145"/>
      <c r="IA125" s="146"/>
      <c r="IB125" s="145"/>
      <c r="IC125" s="145"/>
      <c r="ID125" s="145"/>
      <c r="IE125" s="147"/>
      <c r="IF125" s="146"/>
      <c r="IG125" s="145"/>
      <c r="IH125" s="145"/>
      <c r="II125" s="148"/>
      <c r="IJ125" s="145"/>
      <c r="IK125" s="145"/>
      <c r="IL125" s="145"/>
      <c r="IM125" s="145"/>
      <c r="IN125" s="146"/>
      <c r="IO125" s="145"/>
      <c r="IP125" s="145"/>
      <c r="IQ125" s="145"/>
      <c r="IR125" s="148"/>
      <c r="IS125" s="145"/>
      <c r="IT125" s="145"/>
      <c r="IU125" s="145"/>
      <c r="IV125" s="145"/>
      <c r="IW125" s="146"/>
      <c r="IX125" s="145"/>
      <c r="IY125" s="145"/>
      <c r="IZ125" s="148"/>
      <c r="JA125" s="145"/>
      <c r="JB125" s="145"/>
      <c r="JC125" s="145"/>
      <c r="JD125" s="145"/>
      <c r="JE125" s="145"/>
      <c r="JF125" s="146"/>
      <c r="JG125" s="145"/>
      <c r="JH125" s="145"/>
      <c r="JI125" s="148"/>
      <c r="JJ125" s="145"/>
      <c r="JK125" s="145"/>
      <c r="JL125" s="145"/>
      <c r="JM125" s="145"/>
      <c r="JN125" s="146"/>
      <c r="JO125" s="145"/>
      <c r="JP125" s="145"/>
      <c r="JQ125" s="145"/>
      <c r="JR125" s="148"/>
      <c r="JS125" s="145"/>
      <c r="JT125" s="145"/>
      <c r="JU125" s="145"/>
      <c r="JV125" s="145"/>
      <c r="JW125" s="146"/>
      <c r="JX125" s="145"/>
      <c r="JY125" s="145"/>
      <c r="JZ125" s="148"/>
      <c r="KA125" s="145"/>
      <c r="KB125" s="145"/>
      <c r="KC125" s="145"/>
      <c r="KD125" s="149"/>
      <c r="KE125" s="146"/>
      <c r="KF125" s="145"/>
      <c r="KG125" s="145"/>
      <c r="KH125" s="148"/>
    </row>
    <row r="126" spans="2:294" ht="19.2" thickTop="1">
      <c r="B126" s="123"/>
      <c r="C126" s="244"/>
      <c r="D126" s="129"/>
      <c r="E126" s="130"/>
      <c r="F126" s="131"/>
      <c r="G126" s="131"/>
      <c r="H126" s="131"/>
      <c r="I126" s="132"/>
      <c r="J126" s="133"/>
      <c r="K126" s="131"/>
      <c r="L126" s="131"/>
      <c r="M126" s="132"/>
      <c r="N126" s="134"/>
      <c r="O126" s="131"/>
      <c r="P126" s="131"/>
      <c r="Q126" s="132"/>
      <c r="R126" s="134"/>
      <c r="S126" s="131"/>
      <c r="T126" s="131"/>
      <c r="U126" s="132"/>
      <c r="V126" s="130"/>
      <c r="W126" s="131"/>
      <c r="X126" s="131"/>
      <c r="Y126" s="131"/>
      <c r="Z126" s="132"/>
      <c r="AA126" s="134"/>
      <c r="AB126" s="131"/>
      <c r="AC126" s="131"/>
      <c r="AD126" s="132"/>
      <c r="AE126" s="134"/>
      <c r="AF126" s="131"/>
      <c r="AG126" s="131"/>
      <c r="AH126" s="132"/>
      <c r="AI126" s="134"/>
      <c r="AJ126" s="131"/>
      <c r="AK126" s="135"/>
      <c r="AL126" s="131"/>
      <c r="AM126" s="132"/>
      <c r="AN126" s="134"/>
      <c r="AO126" s="131"/>
      <c r="AP126" s="131"/>
      <c r="AQ126" s="132"/>
      <c r="AR126" s="134"/>
      <c r="AS126" s="131"/>
      <c r="AT126" s="131"/>
      <c r="AU126" s="131"/>
      <c r="AV126" s="132"/>
      <c r="AW126" s="134"/>
      <c r="AX126" s="131"/>
      <c r="AY126" s="131"/>
      <c r="AZ126" s="132"/>
      <c r="BA126" s="134"/>
      <c r="BB126" s="131"/>
      <c r="BC126" s="131"/>
      <c r="BD126" s="132"/>
      <c r="BE126" s="134"/>
      <c r="BF126" s="136"/>
      <c r="BG126" s="136"/>
      <c r="BH126" s="131"/>
      <c r="BI126" s="132"/>
      <c r="BJ126" s="133"/>
      <c r="BK126" s="135"/>
      <c r="BL126" s="131"/>
      <c r="BM126" s="136"/>
      <c r="BN126" s="134"/>
      <c r="BO126" s="131"/>
      <c r="BP126" s="131"/>
      <c r="BQ126" s="132"/>
      <c r="BR126" s="133"/>
      <c r="BS126" s="131"/>
      <c r="BT126" s="131"/>
      <c r="BU126" s="131"/>
      <c r="BV126" s="136"/>
      <c r="BW126" s="134"/>
      <c r="BX126" s="131"/>
      <c r="BY126" s="131"/>
      <c r="BZ126" s="132"/>
      <c r="CA126" s="133"/>
      <c r="CB126" s="131"/>
      <c r="CC126" s="131"/>
      <c r="CD126" s="132"/>
      <c r="CE126" s="137"/>
      <c r="CF126" s="133"/>
      <c r="CG126" s="138"/>
      <c r="CH126" s="138"/>
      <c r="CI126" s="139"/>
      <c r="CJ126" s="134"/>
      <c r="CK126" s="138"/>
      <c r="CL126" s="138"/>
      <c r="CM126" s="140"/>
      <c r="CR126" s="124"/>
      <c r="CV126" s="125"/>
      <c r="CW126" s="124"/>
      <c r="CX126" s="170"/>
      <c r="CZ126" s="126"/>
      <c r="DA126" s="171"/>
      <c r="DB126" s="172"/>
      <c r="DE126" s="124"/>
      <c r="DJ126" s="124"/>
      <c r="DK126" s="125"/>
      <c r="DM126" s="126"/>
      <c r="DN126" s="124"/>
      <c r="DS126" s="124"/>
      <c r="DT126" s="172"/>
      <c r="EA126" s="124"/>
      <c r="EE126" s="125"/>
      <c r="EF126" s="124"/>
      <c r="EJ126" s="124"/>
      <c r="EN126" s="124"/>
      <c r="ER126" s="126"/>
      <c r="EV126" s="125"/>
      <c r="EW126" s="124"/>
      <c r="EZ126" s="126"/>
      <c r="FF126" s="124"/>
      <c r="FI126" s="126"/>
      <c r="FK126" s="125"/>
      <c r="FN126" s="124"/>
      <c r="FR126" s="126"/>
      <c r="FW126" s="124"/>
      <c r="FZ126" s="126"/>
      <c r="GA126" s="124"/>
      <c r="GE126" s="141"/>
      <c r="GJ126" s="124"/>
      <c r="GM126" s="126"/>
      <c r="GS126" s="150"/>
      <c r="GT126" s="151"/>
      <c r="GU126" s="151"/>
      <c r="GV126" s="154"/>
      <c r="HA126" s="150"/>
      <c r="HB126" s="151"/>
      <c r="HC126" s="151"/>
      <c r="HD126" s="151"/>
      <c r="HE126" s="154"/>
      <c r="HJ126" s="150"/>
      <c r="HK126" s="151"/>
      <c r="HL126" s="151"/>
      <c r="HM126" s="154"/>
      <c r="HS126" s="150"/>
      <c r="HT126" s="151"/>
      <c r="HU126" s="151"/>
      <c r="HV126" s="154"/>
      <c r="IA126" s="150"/>
      <c r="IB126" s="151"/>
      <c r="IC126" s="151"/>
      <c r="ID126" s="151"/>
      <c r="IE126" s="152"/>
      <c r="IF126" s="124"/>
      <c r="II126" s="126"/>
      <c r="IN126" s="124"/>
      <c r="IR126" s="126"/>
      <c r="IW126" s="124"/>
      <c r="IZ126" s="126"/>
      <c r="JF126" s="124"/>
      <c r="JI126" s="126"/>
      <c r="JN126" s="124"/>
      <c r="JR126" s="126"/>
      <c r="JW126" s="124"/>
      <c r="JZ126" s="126"/>
      <c r="KD126" s="141"/>
      <c r="KE126" s="124"/>
      <c r="KH126" s="126"/>
    </row>
    <row r="127" spans="2:294" ht="36.6">
      <c r="B127" s="143" t="s">
        <v>202</v>
      </c>
      <c r="C127" s="244"/>
      <c r="D127" s="129"/>
      <c r="E127" s="130"/>
      <c r="F127" s="131"/>
      <c r="G127" s="131"/>
      <c r="H127" s="131"/>
      <c r="I127" s="132"/>
      <c r="J127" s="133"/>
      <c r="K127" s="131"/>
      <c r="L127" s="131"/>
      <c r="M127" s="132"/>
      <c r="N127" s="134"/>
      <c r="O127" s="131"/>
      <c r="P127" s="131"/>
      <c r="Q127" s="132"/>
      <c r="R127" s="134"/>
      <c r="S127" s="131"/>
      <c r="T127" s="131"/>
      <c r="U127" s="132"/>
      <c r="V127" s="130"/>
      <c r="W127" s="131"/>
      <c r="X127" s="131"/>
      <c r="Y127" s="131"/>
      <c r="Z127" s="132"/>
      <c r="AA127" s="134"/>
      <c r="AB127" s="131"/>
      <c r="AC127" s="131"/>
      <c r="AD127" s="132"/>
      <c r="AE127" s="134"/>
      <c r="AF127" s="131"/>
      <c r="AG127" s="131"/>
      <c r="AH127" s="132"/>
      <c r="AI127" s="134"/>
      <c r="AJ127" s="131"/>
      <c r="AK127" s="135"/>
      <c r="AL127" s="131"/>
      <c r="AM127" s="132"/>
      <c r="AN127" s="134"/>
      <c r="AO127" s="131"/>
      <c r="AP127" s="131"/>
      <c r="AQ127" s="132"/>
      <c r="AR127" s="134"/>
      <c r="AS127" s="131"/>
      <c r="AT127" s="131"/>
      <c r="AU127" s="131"/>
      <c r="AV127" s="132"/>
      <c r="AW127" s="134"/>
      <c r="AX127" s="131"/>
      <c r="AY127" s="131"/>
      <c r="AZ127" s="132"/>
      <c r="BA127" s="134"/>
      <c r="BB127" s="131"/>
      <c r="BC127" s="131"/>
      <c r="BD127" s="132"/>
      <c r="BE127" s="134"/>
      <c r="BF127" s="136"/>
      <c r="BG127" s="136"/>
      <c r="BH127" s="131"/>
      <c r="BI127" s="132"/>
      <c r="BJ127" s="133"/>
      <c r="BK127" s="135"/>
      <c r="BL127" s="131"/>
      <c r="BM127" s="136"/>
      <c r="BN127" s="134"/>
      <c r="BO127" s="131"/>
      <c r="BP127" s="131"/>
      <c r="BQ127" s="132"/>
      <c r="BR127" s="133"/>
      <c r="BS127" s="131"/>
      <c r="BT127" s="131"/>
      <c r="BU127" s="131"/>
      <c r="BV127" s="136"/>
      <c r="BW127" s="134"/>
      <c r="BX127" s="131"/>
      <c r="BY127" s="131"/>
      <c r="BZ127" s="132"/>
      <c r="CA127" s="133"/>
      <c r="CB127" s="131"/>
      <c r="CC127" s="131"/>
      <c r="CD127" s="132"/>
      <c r="CE127" s="137"/>
      <c r="CF127" s="133"/>
      <c r="CG127" s="138"/>
      <c r="CH127" s="138"/>
      <c r="CI127" s="139"/>
      <c r="CJ127" s="134"/>
      <c r="CK127" s="138"/>
      <c r="CL127" s="138"/>
      <c r="CM127" s="140"/>
      <c r="CR127" s="124"/>
      <c r="CV127" s="125"/>
      <c r="CW127" s="124"/>
      <c r="CZ127" s="126"/>
      <c r="DA127" s="124"/>
      <c r="DE127" s="124"/>
      <c r="DJ127" s="124"/>
      <c r="DK127" s="125"/>
      <c r="DM127" s="126"/>
      <c r="DN127" s="124"/>
      <c r="DS127" s="124"/>
      <c r="EA127" s="124"/>
      <c r="EE127" s="125"/>
      <c r="EF127" s="124"/>
      <c r="EJ127" s="124"/>
      <c r="EN127" s="124"/>
      <c r="ER127" s="126"/>
      <c r="EV127" s="125"/>
      <c r="EW127" s="124"/>
      <c r="EZ127" s="126"/>
      <c r="FC127" s="245"/>
      <c r="FF127" s="124"/>
      <c r="FI127" s="126"/>
      <c r="FK127" s="125"/>
      <c r="FN127" s="124"/>
      <c r="FR127" s="126"/>
      <c r="FW127" s="124"/>
      <c r="FZ127" s="126"/>
      <c r="GA127" s="124"/>
      <c r="GE127" s="141"/>
      <c r="GJ127" s="124"/>
      <c r="GM127" s="126"/>
      <c r="GS127" s="124"/>
      <c r="GV127" s="126"/>
      <c r="HA127" s="124"/>
      <c r="HE127" s="126"/>
      <c r="HJ127" s="124"/>
      <c r="HM127" s="126"/>
      <c r="HS127" s="124"/>
      <c r="HV127" s="126"/>
      <c r="IA127" s="124"/>
      <c r="IE127" s="125"/>
      <c r="IF127" s="124"/>
      <c r="II127" s="126"/>
      <c r="IN127" s="124"/>
      <c r="IR127" s="126"/>
      <c r="IW127" s="124"/>
      <c r="IZ127" s="126"/>
      <c r="JF127" s="124"/>
      <c r="JI127" s="126"/>
      <c r="JN127" s="124"/>
      <c r="JR127" s="126"/>
      <c r="JW127" s="124"/>
      <c r="JZ127" s="126"/>
      <c r="KD127" s="141"/>
      <c r="KE127" s="124"/>
      <c r="KH127" s="126"/>
    </row>
    <row r="128" spans="2:294" ht="27" customHeight="1">
      <c r="B128" s="143"/>
      <c r="C128" s="323" t="s">
        <v>187</v>
      </c>
      <c r="D128" s="129" t="s">
        <v>186</v>
      </c>
      <c r="E128" s="130"/>
      <c r="F128" s="131"/>
      <c r="G128" s="131"/>
      <c r="H128" s="131"/>
      <c r="I128" s="132"/>
      <c r="J128" s="133"/>
      <c r="K128" s="131"/>
      <c r="L128" s="131"/>
      <c r="M128" s="132"/>
      <c r="N128" s="134"/>
      <c r="O128" s="131"/>
      <c r="P128" s="131"/>
      <c r="Q128" s="132"/>
      <c r="R128" s="134"/>
      <c r="S128" s="131"/>
      <c r="T128" s="131"/>
      <c r="U128" s="132"/>
      <c r="V128" s="130"/>
      <c r="W128" s="131"/>
      <c r="X128" s="131"/>
      <c r="Y128" s="131"/>
      <c r="Z128" s="132"/>
      <c r="AA128" s="134"/>
      <c r="AB128" s="131"/>
      <c r="AC128" s="131"/>
      <c r="AD128" s="132"/>
      <c r="AE128" s="134"/>
      <c r="AF128" s="131"/>
      <c r="AG128" s="131"/>
      <c r="AH128" s="132"/>
      <c r="AI128" s="134"/>
      <c r="AJ128" s="131"/>
      <c r="AK128" s="135"/>
      <c r="AL128" s="131"/>
      <c r="AM128" s="132"/>
      <c r="AN128" s="134"/>
      <c r="AO128" s="131"/>
      <c r="AP128" s="131"/>
      <c r="AQ128" s="132"/>
      <c r="AR128" s="134"/>
      <c r="AS128" s="131"/>
      <c r="AT128" s="131"/>
      <c r="AU128" s="131"/>
      <c r="AV128" s="132"/>
      <c r="AW128" s="134"/>
      <c r="AX128" s="131"/>
      <c r="AY128" s="131"/>
      <c r="AZ128" s="132"/>
      <c r="BA128" s="134"/>
      <c r="BB128" s="131"/>
      <c r="BC128" s="131"/>
      <c r="BD128" s="132"/>
      <c r="BE128" s="134"/>
      <c r="BF128" s="136"/>
      <c r="BG128" s="136"/>
      <c r="BH128" s="131"/>
      <c r="BI128" s="132"/>
      <c r="BJ128" s="133"/>
      <c r="BK128" s="135"/>
      <c r="BL128" s="131"/>
      <c r="BM128" s="136"/>
      <c r="BN128" s="134"/>
      <c r="BO128" s="131"/>
      <c r="BP128" s="131"/>
      <c r="BQ128" s="132"/>
      <c r="BR128" s="133"/>
      <c r="BS128" s="131"/>
      <c r="BT128" s="131"/>
      <c r="BU128" s="131"/>
      <c r="BV128" s="136"/>
      <c r="BW128" s="134"/>
      <c r="BX128" s="131"/>
      <c r="BY128" s="131"/>
      <c r="BZ128" s="132"/>
      <c r="CA128" s="133"/>
      <c r="CB128" s="131"/>
      <c r="CC128" s="131"/>
      <c r="CD128" s="132"/>
      <c r="CE128" s="137"/>
      <c r="CF128" s="133"/>
      <c r="CG128" s="138"/>
      <c r="CH128" s="138"/>
      <c r="CI128" s="139"/>
      <c r="CJ128" s="134"/>
      <c r="CK128" s="138"/>
      <c r="CL128" s="138"/>
      <c r="CM128" s="140"/>
      <c r="CR128" s="124"/>
      <c r="CV128" s="125"/>
      <c r="CW128" s="124"/>
      <c r="CZ128" s="126"/>
      <c r="DA128" s="124"/>
      <c r="DE128" s="124"/>
      <c r="DJ128" s="124"/>
      <c r="DK128" s="125"/>
      <c r="DM128" s="126"/>
      <c r="DN128" s="124"/>
      <c r="DS128" s="124"/>
      <c r="EA128" s="124"/>
      <c r="EE128" s="125"/>
      <c r="EF128" s="124"/>
      <c r="EJ128" s="124"/>
      <c r="EN128" s="124"/>
      <c r="ER128" s="126"/>
      <c r="EV128" s="125"/>
      <c r="EW128" s="124"/>
      <c r="EZ128" s="246"/>
      <c r="FF128" s="124"/>
      <c r="FI128" s="126"/>
      <c r="FK128" s="125"/>
      <c r="FN128" s="124"/>
      <c r="FR128" s="126"/>
      <c r="FW128" s="124"/>
      <c r="FZ128" s="126"/>
      <c r="GA128" s="124"/>
      <c r="GE128" s="141"/>
      <c r="GJ128" s="124"/>
      <c r="GK128" s="79" t="s">
        <v>165</v>
      </c>
      <c r="GM128" s="126"/>
      <c r="GQ128" s="79" t="s">
        <v>186</v>
      </c>
      <c r="GS128" s="124"/>
      <c r="GV128" s="126"/>
      <c r="HA128" s="124"/>
      <c r="HE128" s="126"/>
      <c r="HJ128" s="124"/>
      <c r="HM128" s="126"/>
      <c r="HS128" s="124"/>
      <c r="HV128" s="126"/>
      <c r="IA128" s="124"/>
      <c r="IE128" s="125"/>
      <c r="IF128" s="124"/>
      <c r="II128" s="126"/>
      <c r="IN128" s="124"/>
      <c r="IR128" s="126"/>
      <c r="IW128" s="124"/>
      <c r="IZ128" s="126"/>
      <c r="JF128" s="124"/>
      <c r="JI128" s="126"/>
      <c r="JN128" s="124"/>
      <c r="JR128" s="126"/>
      <c r="JW128" s="124"/>
      <c r="JZ128" s="126"/>
      <c r="KD128" s="141"/>
      <c r="KE128" s="124"/>
      <c r="KH128" s="126"/>
    </row>
    <row r="129" spans="2:294" ht="18.600000000000001">
      <c r="B129" s="127"/>
      <c r="C129" s="244" t="s">
        <v>169</v>
      </c>
      <c r="D129" s="129" t="s">
        <v>192</v>
      </c>
      <c r="E129" s="130"/>
      <c r="F129" s="131"/>
      <c r="G129" s="131"/>
      <c r="H129" s="131"/>
      <c r="I129" s="132"/>
      <c r="J129" s="133"/>
      <c r="K129" s="131"/>
      <c r="L129" s="131"/>
      <c r="M129" s="132"/>
      <c r="N129" s="134"/>
      <c r="O129" s="131"/>
      <c r="P129" s="131"/>
      <c r="Q129" s="132"/>
      <c r="R129" s="134"/>
      <c r="S129" s="131"/>
      <c r="T129" s="131"/>
      <c r="U129" s="132"/>
      <c r="V129" s="130"/>
      <c r="W129" s="131"/>
      <c r="X129" s="131"/>
      <c r="Y129" s="131"/>
      <c r="Z129" s="132"/>
      <c r="AA129" s="134"/>
      <c r="AB129" s="131"/>
      <c r="AC129" s="131"/>
      <c r="AD129" s="132"/>
      <c r="AE129" s="134"/>
      <c r="AF129" s="131"/>
      <c r="AG129" s="131"/>
      <c r="AH129" s="132"/>
      <c r="AI129" s="134"/>
      <c r="AJ129" s="131"/>
      <c r="AK129" s="135"/>
      <c r="AL129" s="131"/>
      <c r="AM129" s="132"/>
      <c r="AN129" s="134"/>
      <c r="AO129" s="131"/>
      <c r="AP129" s="131"/>
      <c r="AQ129" s="132"/>
      <c r="AR129" s="134"/>
      <c r="AS129" s="131"/>
      <c r="AT129" s="131"/>
      <c r="AU129" s="131"/>
      <c r="AV129" s="132"/>
      <c r="AW129" s="134"/>
      <c r="AX129" s="131"/>
      <c r="AY129" s="131"/>
      <c r="AZ129" s="132"/>
      <c r="BA129" s="134"/>
      <c r="BB129" s="131"/>
      <c r="BC129" s="131"/>
      <c r="BD129" s="132"/>
      <c r="BE129" s="134"/>
      <c r="BF129" s="136"/>
      <c r="BG129" s="136"/>
      <c r="BH129" s="131"/>
      <c r="BI129" s="132"/>
      <c r="BJ129" s="133"/>
      <c r="BK129" s="135"/>
      <c r="BL129" s="131"/>
      <c r="BM129" s="136"/>
      <c r="BN129" s="134"/>
      <c r="BO129" s="131"/>
      <c r="BP129" s="131"/>
      <c r="BQ129" s="132"/>
      <c r="BR129" s="133"/>
      <c r="BS129" s="131"/>
      <c r="BT129" s="131"/>
      <c r="BU129" s="131"/>
      <c r="BV129" s="136"/>
      <c r="BW129" s="134"/>
      <c r="BX129" s="131"/>
      <c r="BY129" s="131"/>
      <c r="BZ129" s="132"/>
      <c r="CA129" s="133"/>
      <c r="CB129" s="131"/>
      <c r="CC129" s="131"/>
      <c r="CD129" s="132"/>
      <c r="CE129" s="137"/>
      <c r="CF129" s="133"/>
      <c r="CG129" s="138"/>
      <c r="CH129" s="138"/>
      <c r="CI129" s="139"/>
      <c r="CJ129" s="134"/>
      <c r="CK129" s="138"/>
      <c r="CL129" s="138"/>
      <c r="CM129" s="140"/>
      <c r="CR129" s="124"/>
      <c r="CV129" s="125"/>
      <c r="CW129" s="124"/>
      <c r="CZ129" s="126"/>
      <c r="DA129" s="124"/>
      <c r="DE129" s="124"/>
      <c r="DJ129" s="124"/>
      <c r="DK129" s="125"/>
      <c r="DM129" s="126"/>
      <c r="DN129" s="124"/>
      <c r="DS129" s="124"/>
      <c r="EA129" s="124"/>
      <c r="EE129" s="125"/>
      <c r="EF129" s="124"/>
      <c r="EJ129" s="124"/>
      <c r="EN129" s="124"/>
      <c r="ER129" s="126"/>
      <c r="EV129" s="125"/>
      <c r="EW129" s="124"/>
      <c r="EZ129" s="126"/>
      <c r="FF129" s="124"/>
      <c r="FI129" s="126"/>
      <c r="FK129" s="125"/>
      <c r="FN129" s="124"/>
      <c r="FR129" s="126"/>
      <c r="FW129" s="124"/>
      <c r="FZ129" s="126"/>
      <c r="GA129" s="124"/>
      <c r="GE129" s="141"/>
      <c r="GJ129" s="124"/>
      <c r="GM129" s="126"/>
      <c r="GS129" s="124"/>
      <c r="GV129" s="126"/>
      <c r="HA129" s="124"/>
      <c r="HE129" s="126"/>
      <c r="HJ129" s="124"/>
      <c r="HM129" s="126"/>
      <c r="HS129" s="124"/>
      <c r="HV129" s="126"/>
      <c r="IA129" s="124"/>
      <c r="IE129" s="125"/>
      <c r="IF129" s="124"/>
      <c r="II129" s="126"/>
      <c r="IN129" s="124"/>
      <c r="IR129" s="126"/>
      <c r="IW129" s="124"/>
      <c r="IZ129" s="126"/>
      <c r="JF129" s="124"/>
      <c r="JI129" s="126"/>
      <c r="JN129" s="124"/>
      <c r="JR129" s="126"/>
      <c r="JW129" s="124"/>
      <c r="JZ129" s="126"/>
      <c r="KD129" s="141"/>
      <c r="KE129" s="124"/>
      <c r="KH129" s="126"/>
    </row>
    <row r="130" spans="2:294" ht="18.600000000000001">
      <c r="B130" s="127"/>
      <c r="C130" s="244" t="s">
        <v>203</v>
      </c>
      <c r="D130" s="129"/>
      <c r="E130" s="130"/>
      <c r="F130" s="131"/>
      <c r="G130" s="131"/>
      <c r="H130" s="131"/>
      <c r="I130" s="132"/>
      <c r="J130" s="133"/>
      <c r="K130" s="131"/>
      <c r="L130" s="131"/>
      <c r="M130" s="132"/>
      <c r="N130" s="134"/>
      <c r="O130" s="131"/>
      <c r="P130" s="131"/>
      <c r="Q130" s="132"/>
      <c r="R130" s="134"/>
      <c r="S130" s="131"/>
      <c r="T130" s="131"/>
      <c r="U130" s="132"/>
      <c r="V130" s="130"/>
      <c r="W130" s="131"/>
      <c r="X130" s="131"/>
      <c r="Y130" s="131"/>
      <c r="Z130" s="132"/>
      <c r="AA130" s="134"/>
      <c r="AB130" s="131"/>
      <c r="AC130" s="131"/>
      <c r="AD130" s="132"/>
      <c r="AE130" s="134"/>
      <c r="AF130" s="131"/>
      <c r="AG130" s="131"/>
      <c r="AH130" s="132"/>
      <c r="AI130" s="134"/>
      <c r="AJ130" s="131"/>
      <c r="AK130" s="135"/>
      <c r="AL130" s="131"/>
      <c r="AM130" s="132"/>
      <c r="AN130" s="134"/>
      <c r="AO130" s="131"/>
      <c r="AP130" s="131"/>
      <c r="AQ130" s="132"/>
      <c r="AR130" s="134"/>
      <c r="AS130" s="131"/>
      <c r="AT130" s="131"/>
      <c r="AU130" s="131"/>
      <c r="AV130" s="132"/>
      <c r="AW130" s="134"/>
      <c r="AX130" s="131"/>
      <c r="AY130" s="131"/>
      <c r="AZ130" s="132"/>
      <c r="BA130" s="134"/>
      <c r="BB130" s="131"/>
      <c r="BC130" s="131"/>
      <c r="BD130" s="132"/>
      <c r="BE130" s="134"/>
      <c r="BF130" s="136"/>
      <c r="BG130" s="136"/>
      <c r="BH130" s="131"/>
      <c r="BI130" s="132"/>
      <c r="BJ130" s="133"/>
      <c r="BK130" s="135"/>
      <c r="BL130" s="131"/>
      <c r="BM130" s="136"/>
      <c r="BN130" s="134"/>
      <c r="BO130" s="131"/>
      <c r="BP130" s="131"/>
      <c r="BQ130" s="132"/>
      <c r="BR130" s="133"/>
      <c r="BS130" s="131"/>
      <c r="BT130" s="131"/>
      <c r="BU130" s="131"/>
      <c r="BV130" s="136"/>
      <c r="BW130" s="134"/>
      <c r="BX130" s="131"/>
      <c r="BY130" s="131"/>
      <c r="BZ130" s="132"/>
      <c r="CA130" s="133"/>
      <c r="CB130" s="131"/>
      <c r="CC130" s="131"/>
      <c r="CD130" s="132"/>
      <c r="CE130" s="137"/>
      <c r="CF130" s="133"/>
      <c r="CG130" s="138"/>
      <c r="CH130" s="138"/>
      <c r="CI130" s="139"/>
      <c r="CJ130" s="134"/>
      <c r="CK130" s="138"/>
      <c r="CL130" s="138"/>
      <c r="CM130" s="140"/>
      <c r="CR130" s="124"/>
      <c r="CV130" s="125"/>
      <c r="CW130" s="124"/>
      <c r="CZ130" s="126"/>
      <c r="DA130" s="124"/>
      <c r="DE130" s="124"/>
      <c r="DJ130" s="124"/>
      <c r="DK130" s="125"/>
      <c r="DM130" s="126"/>
      <c r="DN130" s="124"/>
      <c r="DS130" s="124"/>
      <c r="EA130" s="124"/>
      <c r="EE130" s="125"/>
      <c r="EF130" s="124"/>
      <c r="EJ130" s="124"/>
      <c r="EN130" s="124"/>
      <c r="ER130" s="126"/>
      <c r="EV130" s="125"/>
      <c r="EW130" s="79" t="s">
        <v>204</v>
      </c>
      <c r="EZ130" s="126"/>
      <c r="FF130" s="124"/>
      <c r="FI130" s="126"/>
      <c r="FK130" s="125"/>
      <c r="FN130" s="124"/>
      <c r="FR130" s="126"/>
      <c r="FW130" s="124"/>
      <c r="FZ130" s="126"/>
      <c r="GA130" s="124"/>
      <c r="GE130" s="141"/>
      <c r="GJ130" s="124"/>
      <c r="GM130" s="126"/>
      <c r="GS130" s="124"/>
      <c r="GV130" s="126"/>
      <c r="HA130" s="124"/>
      <c r="HE130" s="126"/>
      <c r="HJ130" s="124"/>
      <c r="HM130" s="126"/>
      <c r="HS130" s="124"/>
      <c r="HV130" s="126"/>
      <c r="IA130" s="124"/>
      <c r="IE130" s="125"/>
      <c r="IF130" s="124"/>
      <c r="II130" s="126"/>
      <c r="IN130" s="124"/>
      <c r="IR130" s="126"/>
      <c r="IW130" s="124"/>
      <c r="IZ130" s="126"/>
      <c r="JF130" s="124"/>
      <c r="JI130" s="126"/>
      <c r="JN130" s="124"/>
      <c r="JR130" s="126"/>
      <c r="JW130" s="124"/>
      <c r="JZ130" s="126"/>
      <c r="KD130" s="141"/>
      <c r="KE130" s="124"/>
      <c r="KH130" s="126"/>
    </row>
    <row r="131" spans="2:294" ht="18.600000000000001">
      <c r="B131" s="127"/>
      <c r="C131" s="247"/>
      <c r="D131" s="129"/>
      <c r="E131" s="130"/>
      <c r="F131" s="131"/>
      <c r="G131" s="131"/>
      <c r="H131" s="131"/>
      <c r="I131" s="132"/>
      <c r="J131" s="133"/>
      <c r="K131" s="131"/>
      <c r="L131" s="131"/>
      <c r="M131" s="132"/>
      <c r="N131" s="134"/>
      <c r="O131" s="131"/>
      <c r="P131" s="131"/>
      <c r="Q131" s="132"/>
      <c r="R131" s="134"/>
      <c r="S131" s="131"/>
      <c r="T131" s="131"/>
      <c r="U131" s="132"/>
      <c r="V131" s="130"/>
      <c r="W131" s="131"/>
      <c r="X131" s="131"/>
      <c r="Y131" s="131"/>
      <c r="Z131" s="132"/>
      <c r="AA131" s="134"/>
      <c r="AB131" s="131"/>
      <c r="AC131" s="131"/>
      <c r="AD131" s="132"/>
      <c r="AE131" s="134"/>
      <c r="AF131" s="131"/>
      <c r="AG131" s="131"/>
      <c r="AH131" s="132"/>
      <c r="AI131" s="134"/>
      <c r="AJ131" s="131"/>
      <c r="AK131" s="135"/>
      <c r="AL131" s="131"/>
      <c r="AM131" s="132"/>
      <c r="AN131" s="134"/>
      <c r="AO131" s="131"/>
      <c r="AP131" s="131"/>
      <c r="AQ131" s="132"/>
      <c r="AR131" s="134"/>
      <c r="AS131" s="131"/>
      <c r="AT131" s="131"/>
      <c r="AU131" s="131"/>
      <c r="AV131" s="132"/>
      <c r="AW131" s="134"/>
      <c r="AX131" s="131"/>
      <c r="AY131" s="131"/>
      <c r="AZ131" s="132"/>
      <c r="BA131" s="134"/>
      <c r="BB131" s="131"/>
      <c r="BC131" s="131"/>
      <c r="BD131" s="132"/>
      <c r="BE131" s="134"/>
      <c r="BF131" s="136"/>
      <c r="BG131" s="136"/>
      <c r="BH131" s="131"/>
      <c r="BI131" s="132"/>
      <c r="BJ131" s="133"/>
      <c r="BK131" s="135"/>
      <c r="BL131" s="131"/>
      <c r="BM131" s="136"/>
      <c r="BN131" s="134"/>
      <c r="BO131" s="131"/>
      <c r="BP131" s="131"/>
      <c r="BQ131" s="132"/>
      <c r="BR131" s="133"/>
      <c r="BS131" s="131"/>
      <c r="BT131" s="131"/>
      <c r="BU131" s="131"/>
      <c r="BV131" s="136"/>
      <c r="BW131" s="134"/>
      <c r="BX131" s="131"/>
      <c r="BY131" s="131"/>
      <c r="BZ131" s="132"/>
      <c r="CA131" s="133"/>
      <c r="CB131" s="131"/>
      <c r="CC131" s="131"/>
      <c r="CD131" s="132"/>
      <c r="CE131" s="137"/>
      <c r="CF131" s="133"/>
      <c r="CG131" s="138"/>
      <c r="CH131" s="138"/>
      <c r="CI131" s="139"/>
      <c r="CJ131" s="134"/>
      <c r="CK131" s="138"/>
      <c r="CL131" s="138"/>
      <c r="CM131" s="140"/>
      <c r="CR131" s="124"/>
      <c r="CV131" s="125"/>
      <c r="CW131" s="124"/>
      <c r="CZ131" s="126"/>
      <c r="DA131" s="124"/>
      <c r="DE131" s="124"/>
      <c r="DJ131" s="124"/>
      <c r="DK131" s="125"/>
      <c r="DM131" s="126"/>
      <c r="DN131" s="124"/>
      <c r="DS131" s="124"/>
      <c r="EA131" s="124"/>
      <c r="EE131" s="125"/>
      <c r="EF131" s="124"/>
      <c r="EJ131" s="124"/>
      <c r="EN131" s="124"/>
      <c r="ER131" s="126"/>
      <c r="EV131" s="125"/>
      <c r="EW131" s="124"/>
      <c r="EZ131" s="126"/>
      <c r="FC131" s="248"/>
      <c r="FF131" s="124"/>
      <c r="FI131" s="126"/>
      <c r="FK131" s="125"/>
      <c r="FL131" s="248"/>
      <c r="FN131" s="124"/>
      <c r="FR131" s="126"/>
      <c r="FW131" s="124"/>
      <c r="FZ131" s="126"/>
      <c r="GA131" s="124"/>
      <c r="GE131" s="141"/>
      <c r="GJ131" s="124"/>
      <c r="GM131" s="126"/>
      <c r="GS131" s="124"/>
      <c r="GV131" s="126"/>
      <c r="HA131" s="124"/>
      <c r="HE131" s="126"/>
      <c r="HJ131" s="124"/>
      <c r="HM131" s="126"/>
      <c r="HS131" s="124"/>
      <c r="HV131" s="126"/>
      <c r="IA131" s="124"/>
      <c r="IE131" s="125"/>
      <c r="IF131" s="124"/>
      <c r="II131" s="126"/>
      <c r="IN131" s="124"/>
      <c r="IR131" s="126"/>
      <c r="IW131" s="124"/>
      <c r="IZ131" s="126"/>
      <c r="JF131" s="124"/>
      <c r="JI131" s="126"/>
      <c r="JN131" s="124"/>
      <c r="JR131" s="126"/>
      <c r="JW131" s="124"/>
      <c r="JZ131" s="126"/>
      <c r="KD131" s="141"/>
      <c r="KE131" s="124"/>
      <c r="KH131" s="126"/>
    </row>
    <row r="132" spans="2:294" ht="19.2" thickBot="1">
      <c r="B132" s="127"/>
      <c r="C132" s="249"/>
      <c r="D132" s="158"/>
      <c r="E132" s="159"/>
      <c r="F132" s="160"/>
      <c r="G132" s="160"/>
      <c r="H132" s="160"/>
      <c r="I132" s="161"/>
      <c r="J132" s="162"/>
      <c r="K132" s="160"/>
      <c r="L132" s="160"/>
      <c r="M132" s="161"/>
      <c r="N132" s="163"/>
      <c r="O132" s="160"/>
      <c r="P132" s="160"/>
      <c r="Q132" s="161"/>
      <c r="R132" s="163"/>
      <c r="S132" s="160"/>
      <c r="T132" s="160"/>
      <c r="U132" s="161"/>
      <c r="V132" s="159"/>
      <c r="W132" s="160"/>
      <c r="X132" s="160"/>
      <c r="Y132" s="160"/>
      <c r="Z132" s="161"/>
      <c r="AA132" s="163"/>
      <c r="AB132" s="160"/>
      <c r="AC132" s="160"/>
      <c r="AD132" s="161"/>
      <c r="AE132" s="163"/>
      <c r="AF132" s="160"/>
      <c r="AG132" s="160"/>
      <c r="AH132" s="161"/>
      <c r="AI132" s="163"/>
      <c r="AJ132" s="160"/>
      <c r="AK132" s="164"/>
      <c r="AL132" s="160"/>
      <c r="AM132" s="161"/>
      <c r="AN132" s="163"/>
      <c r="AO132" s="160"/>
      <c r="AP132" s="160"/>
      <c r="AQ132" s="161"/>
      <c r="AR132" s="163"/>
      <c r="AS132" s="160"/>
      <c r="AT132" s="160"/>
      <c r="AU132" s="160"/>
      <c r="AV132" s="161"/>
      <c r="AW132" s="163"/>
      <c r="AX132" s="160"/>
      <c r="AY132" s="160"/>
      <c r="AZ132" s="161"/>
      <c r="BA132" s="163"/>
      <c r="BB132" s="160"/>
      <c r="BC132" s="160"/>
      <c r="BD132" s="161"/>
      <c r="BE132" s="163"/>
      <c r="BF132" s="165"/>
      <c r="BG132" s="165"/>
      <c r="BH132" s="160"/>
      <c r="BI132" s="161"/>
      <c r="BJ132" s="162"/>
      <c r="BK132" s="164"/>
      <c r="BL132" s="160"/>
      <c r="BM132" s="165"/>
      <c r="BN132" s="163"/>
      <c r="BO132" s="160"/>
      <c r="BP132" s="160"/>
      <c r="BQ132" s="161"/>
      <c r="BR132" s="162"/>
      <c r="BS132" s="160"/>
      <c r="BT132" s="160"/>
      <c r="BU132" s="160"/>
      <c r="BV132" s="165"/>
      <c r="BW132" s="163"/>
      <c r="BX132" s="160"/>
      <c r="BY132" s="160"/>
      <c r="BZ132" s="161"/>
      <c r="CA132" s="162"/>
      <c r="CB132" s="160"/>
      <c r="CC132" s="160"/>
      <c r="CD132" s="161"/>
      <c r="CE132" s="166"/>
      <c r="CF132" s="162"/>
      <c r="CG132" s="167"/>
      <c r="CH132" s="167"/>
      <c r="CI132" s="168"/>
      <c r="CJ132" s="163"/>
      <c r="CK132" s="167"/>
      <c r="CL132" s="167"/>
      <c r="CM132" s="169"/>
      <c r="CN132" s="145"/>
      <c r="CO132" s="145"/>
      <c r="CP132" s="145"/>
      <c r="CQ132" s="145"/>
      <c r="CR132" s="146"/>
      <c r="CS132" s="145"/>
      <c r="CT132" s="145"/>
      <c r="CU132" s="145"/>
      <c r="CV132" s="147"/>
      <c r="CW132" s="146"/>
      <c r="CX132" s="145"/>
      <c r="CY132" s="145"/>
      <c r="CZ132" s="148"/>
      <c r="DA132" s="146"/>
      <c r="DB132" s="145"/>
      <c r="DC132" s="145"/>
      <c r="DD132" s="145"/>
      <c r="DE132" s="146"/>
      <c r="DF132" s="145"/>
      <c r="DG132" s="145"/>
      <c r="DH132" s="145"/>
      <c r="DI132" s="145"/>
      <c r="DJ132" s="146"/>
      <c r="DK132" s="147"/>
      <c r="DL132" s="145"/>
      <c r="DM132" s="148"/>
      <c r="DN132" s="146"/>
      <c r="DO132" s="145"/>
      <c r="DP132" s="145"/>
      <c r="DQ132" s="145"/>
      <c r="DR132" s="145"/>
      <c r="DS132" s="146"/>
      <c r="DT132" s="145"/>
      <c r="DU132" s="145"/>
      <c r="DV132" s="145"/>
      <c r="DW132" s="145"/>
      <c r="DX132" s="145"/>
      <c r="DY132" s="145"/>
      <c r="DZ132" s="145"/>
      <c r="EA132" s="146"/>
      <c r="EB132" s="145"/>
      <c r="EC132" s="145"/>
      <c r="ED132" s="145"/>
      <c r="EE132" s="147"/>
      <c r="EF132" s="146"/>
      <c r="EG132" s="145"/>
      <c r="EH132" s="145"/>
      <c r="EI132" s="145"/>
      <c r="EJ132" s="146"/>
      <c r="EK132" s="145"/>
      <c r="EL132" s="145"/>
      <c r="EM132" s="145"/>
      <c r="EN132" s="146"/>
      <c r="EO132" s="145"/>
      <c r="EP132" s="145"/>
      <c r="EQ132" s="145"/>
      <c r="ER132" s="148"/>
      <c r="ES132" s="145"/>
      <c r="ET132" s="145"/>
      <c r="EU132" s="145"/>
      <c r="EV132" s="147"/>
      <c r="EW132" s="146"/>
      <c r="EX132" s="145"/>
      <c r="EY132" s="145"/>
      <c r="EZ132" s="148"/>
      <c r="FA132" s="145"/>
      <c r="FB132" s="145"/>
      <c r="FC132" s="145"/>
      <c r="FD132" s="145"/>
      <c r="FE132" s="145"/>
      <c r="FF132" s="146"/>
      <c r="FG132" s="145"/>
      <c r="FH132" s="145"/>
      <c r="FI132" s="148"/>
      <c r="FJ132" s="145"/>
      <c r="FK132" s="147"/>
      <c r="FL132" s="145"/>
      <c r="FM132" s="145"/>
      <c r="FN132" s="146"/>
      <c r="FO132" s="145"/>
      <c r="FP132" s="145"/>
      <c r="FQ132" s="145"/>
      <c r="FR132" s="148"/>
      <c r="FS132" s="145"/>
      <c r="FT132" s="145"/>
      <c r="FU132" s="145"/>
      <c r="FV132" s="145"/>
      <c r="FW132" s="146"/>
      <c r="FX132" s="145"/>
      <c r="FY132" s="145"/>
      <c r="FZ132" s="148"/>
      <c r="GA132" s="146"/>
      <c r="GB132" s="145"/>
      <c r="GC132" s="145"/>
      <c r="GD132" s="145"/>
      <c r="GE132" s="149"/>
      <c r="GF132" s="145"/>
      <c r="GG132" s="145"/>
      <c r="GH132" s="145"/>
      <c r="GI132" s="145"/>
      <c r="GJ132" s="146"/>
      <c r="GK132" s="145"/>
      <c r="GL132" s="145"/>
      <c r="GM132" s="148"/>
      <c r="GN132" s="145"/>
      <c r="GO132" s="145"/>
      <c r="GP132" s="145"/>
      <c r="GQ132" s="145"/>
      <c r="GR132" s="145"/>
      <c r="GS132" s="146"/>
      <c r="GT132" s="145"/>
      <c r="GU132" s="145"/>
      <c r="GV132" s="148"/>
      <c r="GW132" s="145"/>
      <c r="GX132" s="145"/>
      <c r="GY132" s="145"/>
      <c r="GZ132" s="145"/>
      <c r="HA132" s="146"/>
      <c r="HB132" s="145"/>
      <c r="HC132" s="145"/>
      <c r="HD132" s="145"/>
      <c r="HE132" s="148"/>
      <c r="HF132" s="145"/>
      <c r="HG132" s="145"/>
      <c r="HH132" s="145"/>
      <c r="HI132" s="145"/>
      <c r="HJ132" s="146"/>
      <c r="HK132" s="145"/>
      <c r="HL132" s="145"/>
      <c r="HM132" s="148"/>
      <c r="HN132" s="145"/>
      <c r="HO132" s="145"/>
      <c r="HP132" s="145"/>
      <c r="HQ132" s="145"/>
      <c r="HR132" s="145"/>
      <c r="HS132" s="146"/>
      <c r="HT132" s="145"/>
      <c r="HU132" s="145"/>
      <c r="HV132" s="148"/>
      <c r="HW132" s="145"/>
      <c r="HX132" s="145"/>
      <c r="HY132" s="145"/>
      <c r="HZ132" s="145"/>
      <c r="IA132" s="146"/>
      <c r="IB132" s="145"/>
      <c r="IC132" s="145"/>
      <c r="ID132" s="145"/>
      <c r="IE132" s="147"/>
      <c r="IF132" s="146"/>
      <c r="IG132" s="145"/>
      <c r="IH132" s="145"/>
      <c r="II132" s="148"/>
      <c r="IJ132" s="145"/>
      <c r="IK132" s="145"/>
      <c r="IL132" s="145"/>
      <c r="IM132" s="145"/>
      <c r="IN132" s="146"/>
      <c r="IO132" s="145"/>
      <c r="IP132" s="145"/>
      <c r="IQ132" s="145"/>
      <c r="IR132" s="148"/>
      <c r="IS132" s="145"/>
      <c r="IT132" s="145"/>
      <c r="IU132" s="145"/>
      <c r="IV132" s="145"/>
      <c r="IW132" s="146"/>
      <c r="IX132" s="145"/>
      <c r="IY132" s="145"/>
      <c r="IZ132" s="148"/>
      <c r="JA132" s="145"/>
      <c r="JB132" s="145"/>
      <c r="JC132" s="145"/>
      <c r="JD132" s="145"/>
      <c r="JE132" s="145"/>
      <c r="JF132" s="146"/>
      <c r="JG132" s="145"/>
      <c r="JH132" s="145"/>
      <c r="JI132" s="148"/>
      <c r="JJ132" s="145"/>
      <c r="JK132" s="145"/>
      <c r="JL132" s="145"/>
      <c r="JM132" s="145"/>
      <c r="JN132" s="146"/>
      <c r="JO132" s="145"/>
      <c r="JP132" s="145"/>
      <c r="JQ132" s="145"/>
      <c r="JR132" s="148"/>
      <c r="JS132" s="145"/>
      <c r="JT132" s="145"/>
      <c r="JU132" s="145"/>
      <c r="JV132" s="145"/>
      <c r="JW132" s="146"/>
      <c r="JX132" s="145"/>
      <c r="JY132" s="145"/>
      <c r="JZ132" s="148"/>
      <c r="KA132" s="145"/>
      <c r="KB132" s="145"/>
      <c r="KC132" s="145"/>
      <c r="KD132" s="149"/>
      <c r="KE132" s="146"/>
      <c r="KF132" s="145"/>
      <c r="KG132" s="145"/>
      <c r="KH132" s="148"/>
    </row>
    <row r="133" spans="2:294" ht="19.2" thickTop="1">
      <c r="B133" s="127"/>
      <c r="C133" s="244"/>
      <c r="D133" s="129"/>
      <c r="E133" s="130"/>
      <c r="F133" s="131"/>
      <c r="G133" s="131"/>
      <c r="H133" s="131"/>
      <c r="I133" s="132"/>
      <c r="J133" s="133"/>
      <c r="K133" s="131"/>
      <c r="L133" s="131"/>
      <c r="M133" s="132"/>
      <c r="N133" s="134"/>
      <c r="O133" s="131"/>
      <c r="P133" s="131"/>
      <c r="Q133" s="132"/>
      <c r="R133" s="134"/>
      <c r="S133" s="131"/>
      <c r="T133" s="131"/>
      <c r="U133" s="132"/>
      <c r="V133" s="130"/>
      <c r="W133" s="131"/>
      <c r="X133" s="131"/>
      <c r="Y133" s="131"/>
      <c r="Z133" s="132"/>
      <c r="AA133" s="134"/>
      <c r="AB133" s="131"/>
      <c r="AC133" s="131"/>
      <c r="AD133" s="132"/>
      <c r="AE133" s="134"/>
      <c r="AF133" s="131"/>
      <c r="AG133" s="131"/>
      <c r="AH133" s="132"/>
      <c r="AI133" s="134"/>
      <c r="AJ133" s="131"/>
      <c r="AK133" s="135"/>
      <c r="AL133" s="131"/>
      <c r="AM133" s="132"/>
      <c r="AN133" s="134"/>
      <c r="AO133" s="131"/>
      <c r="AP133" s="131"/>
      <c r="AQ133" s="132"/>
      <c r="AR133" s="134"/>
      <c r="AS133" s="131"/>
      <c r="AT133" s="131"/>
      <c r="AU133" s="131"/>
      <c r="AV133" s="132"/>
      <c r="AW133" s="134"/>
      <c r="AX133" s="131"/>
      <c r="AY133" s="131"/>
      <c r="AZ133" s="132"/>
      <c r="BA133" s="134"/>
      <c r="BB133" s="131"/>
      <c r="BC133" s="131"/>
      <c r="BD133" s="132"/>
      <c r="BE133" s="134"/>
      <c r="BF133" s="136"/>
      <c r="BG133" s="136"/>
      <c r="BH133" s="131"/>
      <c r="BI133" s="132"/>
      <c r="BJ133" s="133"/>
      <c r="BK133" s="135"/>
      <c r="BL133" s="131"/>
      <c r="BM133" s="136"/>
      <c r="BN133" s="134"/>
      <c r="BO133" s="131"/>
      <c r="BP133" s="131"/>
      <c r="BQ133" s="132"/>
      <c r="BR133" s="133"/>
      <c r="BS133" s="131"/>
      <c r="BT133" s="131"/>
      <c r="BU133" s="131"/>
      <c r="BV133" s="136"/>
      <c r="BW133" s="134"/>
      <c r="BX133" s="131"/>
      <c r="BY133" s="131"/>
      <c r="BZ133" s="132"/>
      <c r="CA133" s="133"/>
      <c r="CB133" s="131"/>
      <c r="CC133" s="131"/>
      <c r="CD133" s="132"/>
      <c r="CE133" s="137"/>
      <c r="CF133" s="133"/>
      <c r="CG133" s="138"/>
      <c r="CH133" s="138"/>
      <c r="CI133" s="139"/>
      <c r="CJ133" s="134"/>
      <c r="CK133" s="138"/>
      <c r="CL133" s="138"/>
      <c r="CM133" s="140"/>
      <c r="CR133" s="124"/>
      <c r="CV133" s="125"/>
      <c r="CW133" s="124"/>
      <c r="CZ133" s="126"/>
      <c r="DA133" s="124"/>
      <c r="DE133" s="124"/>
      <c r="DJ133" s="124"/>
      <c r="DK133" s="125"/>
      <c r="DL133" s="151"/>
      <c r="DM133" s="154"/>
      <c r="DN133" s="150"/>
      <c r="DO133" s="151"/>
      <c r="DP133" s="151"/>
      <c r="DQ133" s="151"/>
      <c r="DR133" s="151"/>
      <c r="DS133" s="150"/>
      <c r="DT133" s="151"/>
      <c r="DU133" s="151"/>
      <c r="DV133" s="151"/>
      <c r="DW133" s="151"/>
      <c r="DX133" s="151"/>
      <c r="DY133" s="151"/>
      <c r="DZ133" s="151"/>
      <c r="EA133" s="150"/>
      <c r="EB133" s="151"/>
      <c r="EC133" s="151"/>
      <c r="ED133" s="151"/>
      <c r="EE133" s="152"/>
      <c r="EF133" s="150"/>
      <c r="EG133" s="151"/>
      <c r="EH133" s="151"/>
      <c r="EI133" s="151"/>
      <c r="EJ133" s="150"/>
      <c r="EK133" s="151"/>
      <c r="EL133" s="151"/>
      <c r="EM133" s="151"/>
      <c r="EN133" s="150"/>
      <c r="EO133" s="151"/>
      <c r="EP133" s="151"/>
      <c r="EQ133" s="151"/>
      <c r="ER133" s="154"/>
      <c r="ES133" s="151"/>
      <c r="ET133" s="151"/>
      <c r="EU133" s="151"/>
      <c r="EV133" s="152"/>
      <c r="EW133" s="150"/>
      <c r="EX133" s="151"/>
      <c r="EY133" s="151"/>
      <c r="EZ133" s="154"/>
      <c r="FA133" s="151"/>
      <c r="FB133" s="151"/>
      <c r="FC133" s="151"/>
      <c r="FD133" s="151"/>
      <c r="FE133" s="151"/>
      <c r="FF133" s="150"/>
      <c r="FG133" s="151"/>
      <c r="FH133" s="151"/>
      <c r="FI133" s="154"/>
      <c r="FJ133" s="151"/>
      <c r="FK133" s="152"/>
      <c r="FL133" s="151"/>
      <c r="FM133" s="151"/>
      <c r="FN133" s="150"/>
      <c r="FO133" s="151"/>
      <c r="FP133" s="151"/>
      <c r="FQ133" s="151"/>
      <c r="FR133" s="154"/>
      <c r="FS133" s="151"/>
      <c r="FT133" s="151"/>
      <c r="FU133" s="151"/>
      <c r="FV133" s="151"/>
      <c r="FW133" s="150"/>
      <c r="FX133" s="151"/>
      <c r="FY133" s="151"/>
      <c r="FZ133" s="154"/>
      <c r="GA133" s="150"/>
      <c r="GB133" s="151"/>
      <c r="GC133" s="151"/>
      <c r="GD133" s="151"/>
      <c r="GE133" s="156"/>
      <c r="GF133" s="151"/>
      <c r="GG133" s="151"/>
      <c r="GH133" s="151"/>
      <c r="GI133" s="151"/>
      <c r="GJ133" s="150"/>
      <c r="GK133" s="151"/>
      <c r="GL133" s="151"/>
      <c r="GM133" s="154"/>
      <c r="GN133" s="151"/>
      <c r="GO133" s="151"/>
      <c r="GP133" s="151"/>
      <c r="GQ133" s="151"/>
      <c r="GR133" s="151"/>
      <c r="GS133" s="150"/>
      <c r="GT133" s="151"/>
      <c r="GU133" s="151"/>
      <c r="GV133" s="154"/>
      <c r="GW133" s="151"/>
      <c r="GX133" s="151"/>
      <c r="GY133" s="151"/>
      <c r="GZ133" s="151"/>
      <c r="HA133" s="150"/>
      <c r="HB133" s="151"/>
      <c r="HC133" s="151"/>
      <c r="HD133" s="151"/>
      <c r="HE133" s="154"/>
      <c r="HF133" s="151"/>
      <c r="HG133" s="151"/>
      <c r="HH133" s="151"/>
      <c r="HI133" s="151"/>
      <c r="HJ133" s="150"/>
      <c r="HK133" s="151"/>
      <c r="HL133" s="151"/>
      <c r="HM133" s="154"/>
      <c r="HN133" s="151"/>
      <c r="HO133" s="151"/>
      <c r="HP133" s="151"/>
      <c r="HQ133" s="151"/>
      <c r="HR133" s="151"/>
      <c r="HS133" s="150"/>
      <c r="HT133" s="151"/>
      <c r="HU133" s="151"/>
      <c r="HV133" s="154"/>
      <c r="HW133" s="151"/>
      <c r="HX133" s="151"/>
      <c r="HY133" s="151"/>
      <c r="HZ133" s="151"/>
      <c r="IA133" s="150"/>
      <c r="IB133" s="151"/>
      <c r="IC133" s="151"/>
      <c r="ID133" s="151"/>
      <c r="IE133" s="152"/>
      <c r="IF133" s="124"/>
      <c r="II133" s="126"/>
      <c r="IN133" s="124"/>
      <c r="IR133" s="126"/>
      <c r="IW133" s="124"/>
      <c r="IZ133" s="126"/>
      <c r="JF133" s="124"/>
      <c r="JI133" s="126"/>
      <c r="JN133" s="124"/>
      <c r="JR133" s="126"/>
      <c r="JW133" s="124"/>
      <c r="JZ133" s="126"/>
      <c r="KD133" s="141"/>
      <c r="KE133" s="124"/>
      <c r="KH133" s="126"/>
    </row>
    <row r="134" spans="2:294" ht="22.2">
      <c r="B134" s="127"/>
      <c r="C134" s="244"/>
      <c r="E134" s="130"/>
      <c r="F134" s="131"/>
      <c r="G134" s="131"/>
      <c r="H134" s="131"/>
      <c r="I134" s="132"/>
      <c r="J134" s="133"/>
      <c r="K134" s="131"/>
      <c r="L134" s="131"/>
      <c r="M134" s="132"/>
      <c r="N134" s="134"/>
      <c r="O134" s="131"/>
      <c r="P134" s="131"/>
      <c r="Q134" s="132"/>
      <c r="R134" s="134"/>
      <c r="S134" s="131"/>
      <c r="T134" s="131"/>
      <c r="U134" s="132"/>
      <c r="V134" s="130"/>
      <c r="W134" s="131"/>
      <c r="X134" s="131"/>
      <c r="Y134" s="131"/>
      <c r="Z134" s="132"/>
      <c r="AA134" s="134"/>
      <c r="AB134" s="131"/>
      <c r="AC134" s="131"/>
      <c r="AD134" s="132"/>
      <c r="AE134" s="134"/>
      <c r="AF134" s="131"/>
      <c r="AG134" s="131"/>
      <c r="AH134" s="132"/>
      <c r="AI134" s="134"/>
      <c r="AJ134" s="131"/>
      <c r="AK134" s="135"/>
      <c r="AL134" s="131"/>
      <c r="AM134" s="132"/>
      <c r="AN134" s="134"/>
      <c r="AO134" s="131"/>
      <c r="AP134" s="131"/>
      <c r="AQ134" s="132"/>
      <c r="AR134" s="134"/>
      <c r="AS134" s="131"/>
      <c r="AT134" s="131"/>
      <c r="AU134" s="131"/>
      <c r="AV134" s="132"/>
      <c r="AW134" s="134"/>
      <c r="AX134" s="131"/>
      <c r="AY134" s="131"/>
      <c r="AZ134" s="132"/>
      <c r="BA134" s="134"/>
      <c r="BB134" s="131"/>
      <c r="BC134" s="131"/>
      <c r="BD134" s="132"/>
      <c r="BE134" s="134"/>
      <c r="BF134" s="136"/>
      <c r="BG134" s="136"/>
      <c r="BH134" s="131"/>
      <c r="BI134" s="132"/>
      <c r="BJ134" s="133"/>
      <c r="BK134" s="135"/>
      <c r="BL134" s="131"/>
      <c r="BM134" s="136"/>
      <c r="BN134" s="134"/>
      <c r="BO134" s="131"/>
      <c r="BP134" s="131"/>
      <c r="BQ134" s="132"/>
      <c r="BR134" s="133"/>
      <c r="BS134" s="131"/>
      <c r="BT134" s="131"/>
      <c r="BU134" s="131"/>
      <c r="BV134" s="136"/>
      <c r="BW134" s="134"/>
      <c r="BX134" s="131"/>
      <c r="BY134" s="131"/>
      <c r="BZ134" s="132"/>
      <c r="CA134" s="133"/>
      <c r="CB134" s="131"/>
      <c r="CC134" s="131"/>
      <c r="CD134" s="132"/>
      <c r="CE134" s="137"/>
      <c r="CF134" s="133"/>
      <c r="CG134" s="138"/>
      <c r="CH134" s="138"/>
      <c r="CI134" s="139"/>
      <c r="CJ134" s="134"/>
      <c r="CK134" s="138"/>
      <c r="CL134" s="138"/>
      <c r="CM134" s="140"/>
      <c r="CR134" s="124"/>
      <c r="CV134" s="125"/>
      <c r="CW134" s="124"/>
      <c r="CZ134" s="126"/>
      <c r="DA134" s="124"/>
      <c r="DE134" s="124"/>
      <c r="DJ134" s="124"/>
      <c r="DK134" s="125"/>
      <c r="DM134" s="126"/>
      <c r="DN134" s="124"/>
      <c r="DS134" s="124"/>
      <c r="EA134" s="124"/>
      <c r="EE134" s="125"/>
      <c r="EF134" s="124"/>
      <c r="EJ134" s="124"/>
      <c r="EN134" s="124"/>
      <c r="ER134" s="126"/>
      <c r="EV134" s="125"/>
      <c r="EW134" s="250"/>
      <c r="EZ134" s="126"/>
      <c r="FA134" s="124"/>
      <c r="FF134" s="124"/>
      <c r="FI134" s="126"/>
      <c r="FK134" s="125"/>
      <c r="FN134" s="124"/>
      <c r="FR134" s="126"/>
      <c r="FW134" s="124"/>
      <c r="FZ134" s="126"/>
      <c r="GA134" s="124"/>
      <c r="GE134" s="141"/>
      <c r="GJ134" s="124"/>
      <c r="GM134" s="126"/>
      <c r="GS134" s="124"/>
      <c r="GV134" s="126"/>
      <c r="HA134" s="124"/>
      <c r="HE134" s="126"/>
      <c r="HJ134" s="124"/>
      <c r="HM134" s="126"/>
      <c r="HS134" s="124"/>
      <c r="HV134" s="126"/>
      <c r="IA134" s="124"/>
      <c r="IE134" s="125"/>
      <c r="IF134" s="124"/>
      <c r="II134" s="126"/>
      <c r="IN134" s="124"/>
      <c r="IR134" s="126"/>
      <c r="IW134" s="124"/>
      <c r="IZ134" s="126"/>
      <c r="JF134" s="124"/>
      <c r="JI134" s="126"/>
      <c r="JN134" s="124"/>
      <c r="JR134" s="126"/>
      <c r="JW134" s="124"/>
      <c r="JZ134" s="126"/>
      <c r="KD134" s="141"/>
      <c r="KE134" s="124"/>
      <c r="KH134" s="126"/>
    </row>
    <row r="135" spans="2:294" ht="18.600000000000001">
      <c r="B135" s="127"/>
      <c r="C135" s="323" t="s">
        <v>176</v>
      </c>
      <c r="D135" s="129" t="s">
        <v>186</v>
      </c>
      <c r="E135" s="130"/>
      <c r="F135" s="131"/>
      <c r="G135" s="131"/>
      <c r="H135" s="131"/>
      <c r="I135" s="132"/>
      <c r="J135" s="133"/>
      <c r="K135" s="131"/>
      <c r="L135" s="131"/>
      <c r="M135" s="132"/>
      <c r="N135" s="134"/>
      <c r="O135" s="131"/>
      <c r="P135" s="131"/>
      <c r="Q135" s="132"/>
      <c r="R135" s="134"/>
      <c r="S135" s="131"/>
      <c r="T135" s="131"/>
      <c r="U135" s="132"/>
      <c r="V135" s="130"/>
      <c r="W135" s="131"/>
      <c r="X135" s="131"/>
      <c r="Y135" s="131"/>
      <c r="Z135" s="132"/>
      <c r="AA135" s="134"/>
      <c r="AB135" s="131"/>
      <c r="AC135" s="131"/>
      <c r="AD135" s="132"/>
      <c r="AE135" s="134"/>
      <c r="AF135" s="131"/>
      <c r="AG135" s="131"/>
      <c r="AH135" s="132"/>
      <c r="AI135" s="134"/>
      <c r="AJ135" s="131"/>
      <c r="AK135" s="135"/>
      <c r="AL135" s="131"/>
      <c r="AM135" s="132"/>
      <c r="AN135" s="134"/>
      <c r="AO135" s="131"/>
      <c r="AP135" s="131"/>
      <c r="AQ135" s="132"/>
      <c r="AR135" s="134"/>
      <c r="AS135" s="131"/>
      <c r="AT135" s="131"/>
      <c r="AU135" s="131"/>
      <c r="AV135" s="132"/>
      <c r="AW135" s="134"/>
      <c r="AX135" s="131"/>
      <c r="AY135" s="131"/>
      <c r="AZ135" s="132"/>
      <c r="BA135" s="134"/>
      <c r="BB135" s="131"/>
      <c r="BC135" s="131"/>
      <c r="BD135" s="132"/>
      <c r="BE135" s="134"/>
      <c r="BF135" s="136"/>
      <c r="BG135" s="136"/>
      <c r="BH135" s="131"/>
      <c r="BI135" s="132"/>
      <c r="BJ135" s="133"/>
      <c r="BK135" s="135"/>
      <c r="BL135" s="131"/>
      <c r="BM135" s="136"/>
      <c r="BN135" s="134"/>
      <c r="BO135" s="131"/>
      <c r="BP135" s="131"/>
      <c r="BQ135" s="132"/>
      <c r="BR135" s="133"/>
      <c r="BS135" s="131"/>
      <c r="BT135" s="131"/>
      <c r="BU135" s="131"/>
      <c r="BV135" s="136"/>
      <c r="BW135" s="134"/>
      <c r="BX135" s="131"/>
      <c r="BY135" s="131"/>
      <c r="BZ135" s="132"/>
      <c r="CA135" s="133"/>
      <c r="CB135" s="131"/>
      <c r="CC135" s="131"/>
      <c r="CD135" s="132"/>
      <c r="CE135" s="137"/>
      <c r="CF135" s="133"/>
      <c r="CG135" s="138"/>
      <c r="CH135" s="138"/>
      <c r="CI135" s="139"/>
      <c r="CJ135" s="134"/>
      <c r="CK135" s="138"/>
      <c r="CL135" s="138"/>
      <c r="CM135" s="140"/>
      <c r="CR135" s="124"/>
      <c r="CV135" s="125"/>
      <c r="CW135" s="124"/>
      <c r="CZ135" s="126"/>
      <c r="DA135" s="124"/>
      <c r="DE135" s="124"/>
      <c r="DJ135" s="124"/>
      <c r="DK135" s="125"/>
      <c r="DM135" s="126"/>
      <c r="DN135" s="124"/>
      <c r="DS135" s="124"/>
      <c r="EA135" s="124"/>
      <c r="EE135" s="125"/>
      <c r="EF135" s="124"/>
      <c r="EJ135" s="124"/>
      <c r="EN135" s="124"/>
      <c r="ER135" s="126"/>
      <c r="EV135" s="125"/>
      <c r="EW135" s="124"/>
      <c r="EZ135" s="246"/>
      <c r="FA135" s="251"/>
      <c r="FF135" s="124"/>
      <c r="FI135" s="126"/>
      <c r="FK135" s="125"/>
      <c r="FN135" s="124"/>
      <c r="FR135" s="126"/>
      <c r="FW135" s="124"/>
      <c r="FZ135" s="126"/>
      <c r="GA135" s="124"/>
      <c r="GE135" s="141"/>
      <c r="GJ135" s="124"/>
      <c r="GK135" s="79" t="s">
        <v>165</v>
      </c>
      <c r="GM135" s="126"/>
      <c r="GR135" s="79" t="s">
        <v>186</v>
      </c>
      <c r="GS135" s="124"/>
      <c r="GV135" s="126"/>
      <c r="HA135" s="124"/>
      <c r="HE135" s="126"/>
      <c r="HJ135" s="124"/>
      <c r="HM135" s="126"/>
      <c r="HS135" s="124"/>
      <c r="HV135" s="126"/>
      <c r="IA135" s="124"/>
      <c r="IE135" s="125"/>
      <c r="IF135" s="124"/>
      <c r="II135" s="126"/>
      <c r="IN135" s="124"/>
      <c r="IR135" s="126"/>
      <c r="IW135" s="124"/>
      <c r="IZ135" s="126"/>
      <c r="JF135" s="124"/>
      <c r="JI135" s="126"/>
      <c r="JN135" s="124"/>
      <c r="JR135" s="126"/>
      <c r="JW135" s="124"/>
      <c r="JZ135" s="126"/>
      <c r="KD135" s="141"/>
      <c r="KE135" s="124"/>
      <c r="KH135" s="126"/>
    </row>
    <row r="136" spans="2:294" ht="18.600000000000001">
      <c r="B136" s="127"/>
      <c r="C136" s="244" t="s">
        <v>205</v>
      </c>
      <c r="D136" s="129" t="s">
        <v>192</v>
      </c>
      <c r="E136" s="130"/>
      <c r="F136" s="131"/>
      <c r="G136" s="131"/>
      <c r="H136" s="131"/>
      <c r="I136" s="132"/>
      <c r="J136" s="133"/>
      <c r="K136" s="131"/>
      <c r="L136" s="131"/>
      <c r="M136" s="132"/>
      <c r="N136" s="134"/>
      <c r="O136" s="131"/>
      <c r="P136" s="131"/>
      <c r="Q136" s="132"/>
      <c r="R136" s="134"/>
      <c r="S136" s="131"/>
      <c r="T136" s="131"/>
      <c r="U136" s="132"/>
      <c r="V136" s="130"/>
      <c r="W136" s="131"/>
      <c r="X136" s="131"/>
      <c r="Y136" s="131"/>
      <c r="Z136" s="132"/>
      <c r="AA136" s="134"/>
      <c r="AB136" s="131"/>
      <c r="AC136" s="131"/>
      <c r="AD136" s="132"/>
      <c r="AE136" s="134"/>
      <c r="AF136" s="131"/>
      <c r="AG136" s="131"/>
      <c r="AH136" s="132"/>
      <c r="AI136" s="134"/>
      <c r="AJ136" s="131"/>
      <c r="AK136" s="135"/>
      <c r="AL136" s="131"/>
      <c r="AM136" s="132"/>
      <c r="AN136" s="134"/>
      <c r="AO136" s="131"/>
      <c r="AP136" s="131"/>
      <c r="AQ136" s="132"/>
      <c r="AR136" s="134"/>
      <c r="AS136" s="131"/>
      <c r="AT136" s="131"/>
      <c r="AU136" s="131"/>
      <c r="AV136" s="132"/>
      <c r="AW136" s="134"/>
      <c r="AX136" s="131"/>
      <c r="AY136" s="131"/>
      <c r="AZ136" s="132"/>
      <c r="BA136" s="134"/>
      <c r="BB136" s="131"/>
      <c r="BC136" s="131"/>
      <c r="BD136" s="132"/>
      <c r="BE136" s="134"/>
      <c r="BF136" s="136"/>
      <c r="BG136" s="136"/>
      <c r="BH136" s="131"/>
      <c r="BI136" s="132"/>
      <c r="BJ136" s="133"/>
      <c r="BK136" s="135"/>
      <c r="BL136" s="131"/>
      <c r="BM136" s="136"/>
      <c r="BN136" s="134"/>
      <c r="BO136" s="131"/>
      <c r="BP136" s="131"/>
      <c r="BQ136" s="132"/>
      <c r="BR136" s="133"/>
      <c r="BS136" s="131"/>
      <c r="BT136" s="131"/>
      <c r="BU136" s="131"/>
      <c r="BV136" s="136"/>
      <c r="BW136" s="134"/>
      <c r="BX136" s="131"/>
      <c r="BY136" s="131"/>
      <c r="BZ136" s="132"/>
      <c r="CA136" s="133"/>
      <c r="CB136" s="131"/>
      <c r="CC136" s="131"/>
      <c r="CD136" s="132"/>
      <c r="CE136" s="137"/>
      <c r="CF136" s="133"/>
      <c r="CG136" s="138"/>
      <c r="CH136" s="138"/>
      <c r="CI136" s="139"/>
      <c r="CJ136" s="134"/>
      <c r="CK136" s="138"/>
      <c r="CL136" s="138"/>
      <c r="CM136" s="140"/>
      <c r="CR136" s="124"/>
      <c r="CV136" s="125"/>
      <c r="CW136" s="124"/>
      <c r="CZ136" s="126"/>
      <c r="DA136" s="124"/>
      <c r="DE136" s="124"/>
      <c r="DJ136" s="124"/>
      <c r="DK136" s="125"/>
      <c r="DM136" s="126"/>
      <c r="DN136" s="124"/>
      <c r="DS136" s="124"/>
      <c r="EA136" s="124"/>
      <c r="EE136" s="125"/>
      <c r="EF136" s="124"/>
      <c r="EJ136" s="124"/>
      <c r="EN136" s="124"/>
      <c r="ER136" s="126"/>
      <c r="EV136" s="125"/>
      <c r="EW136" s="124"/>
      <c r="EZ136" s="126"/>
      <c r="FF136" s="124"/>
      <c r="FI136" s="126"/>
      <c r="FK136" s="125"/>
      <c r="FN136" s="124"/>
      <c r="FR136" s="126"/>
      <c r="FW136" s="124"/>
      <c r="FZ136" s="126"/>
      <c r="GA136" s="124"/>
      <c r="GE136" s="141"/>
      <c r="GJ136" s="124"/>
      <c r="GM136" s="126"/>
      <c r="GS136" s="124"/>
      <c r="GV136" s="126"/>
      <c r="HA136" s="124"/>
      <c r="HE136" s="126"/>
      <c r="HJ136" s="124"/>
      <c r="HM136" s="126"/>
      <c r="HS136" s="124"/>
      <c r="HV136" s="126"/>
      <c r="IA136" s="124"/>
      <c r="IE136" s="125"/>
      <c r="IF136" s="124"/>
      <c r="II136" s="126"/>
      <c r="IN136" s="124"/>
      <c r="IR136" s="126"/>
      <c r="IW136" s="124"/>
      <c r="IZ136" s="126"/>
      <c r="JF136" s="124"/>
      <c r="JI136" s="126"/>
      <c r="JN136" s="124"/>
      <c r="JR136" s="126"/>
      <c r="JW136" s="124"/>
      <c r="JZ136" s="126"/>
      <c r="KD136" s="141"/>
      <c r="KE136" s="124"/>
      <c r="KH136" s="126"/>
    </row>
    <row r="137" spans="2:294" ht="18.600000000000001">
      <c r="B137" s="127"/>
      <c r="C137" s="244"/>
      <c r="D137" s="129"/>
      <c r="E137" s="130"/>
      <c r="F137" s="131"/>
      <c r="G137" s="131"/>
      <c r="H137" s="131"/>
      <c r="I137" s="132"/>
      <c r="J137" s="133"/>
      <c r="K137" s="131"/>
      <c r="L137" s="131"/>
      <c r="M137" s="132"/>
      <c r="N137" s="134"/>
      <c r="O137" s="131"/>
      <c r="P137" s="131"/>
      <c r="Q137" s="132"/>
      <c r="R137" s="134"/>
      <c r="S137" s="131"/>
      <c r="T137" s="131"/>
      <c r="U137" s="132"/>
      <c r="V137" s="130"/>
      <c r="W137" s="131"/>
      <c r="X137" s="131"/>
      <c r="Y137" s="131"/>
      <c r="Z137" s="132"/>
      <c r="AA137" s="134"/>
      <c r="AB137" s="131"/>
      <c r="AC137" s="131"/>
      <c r="AD137" s="132"/>
      <c r="AE137" s="134"/>
      <c r="AF137" s="131"/>
      <c r="AG137" s="131"/>
      <c r="AH137" s="132"/>
      <c r="AI137" s="134"/>
      <c r="AJ137" s="131"/>
      <c r="AK137" s="135"/>
      <c r="AL137" s="131"/>
      <c r="AM137" s="132"/>
      <c r="AN137" s="134"/>
      <c r="AO137" s="131"/>
      <c r="AP137" s="131"/>
      <c r="AQ137" s="132"/>
      <c r="AR137" s="134"/>
      <c r="AS137" s="131"/>
      <c r="AT137" s="131"/>
      <c r="AU137" s="131"/>
      <c r="AV137" s="132"/>
      <c r="AW137" s="134"/>
      <c r="AX137" s="131"/>
      <c r="AY137" s="131"/>
      <c r="AZ137" s="132"/>
      <c r="BA137" s="134"/>
      <c r="BB137" s="131"/>
      <c r="BC137" s="131"/>
      <c r="BD137" s="132"/>
      <c r="BE137" s="134"/>
      <c r="BF137" s="136"/>
      <c r="BG137" s="136"/>
      <c r="BH137" s="131"/>
      <c r="BI137" s="132"/>
      <c r="BJ137" s="133"/>
      <c r="BK137" s="135"/>
      <c r="BL137" s="131"/>
      <c r="BM137" s="136"/>
      <c r="BN137" s="134"/>
      <c r="BO137" s="131"/>
      <c r="BP137" s="131"/>
      <c r="BQ137" s="132"/>
      <c r="BR137" s="133"/>
      <c r="BS137" s="131"/>
      <c r="BT137" s="131"/>
      <c r="BU137" s="131"/>
      <c r="BV137" s="136"/>
      <c r="BW137" s="134"/>
      <c r="BX137" s="131"/>
      <c r="BY137" s="131"/>
      <c r="BZ137" s="132"/>
      <c r="CA137" s="133"/>
      <c r="CB137" s="131"/>
      <c r="CC137" s="131"/>
      <c r="CD137" s="132"/>
      <c r="CE137" s="137"/>
      <c r="CF137" s="133"/>
      <c r="CG137" s="138"/>
      <c r="CH137" s="138"/>
      <c r="CI137" s="139"/>
      <c r="CJ137" s="134"/>
      <c r="CK137" s="138"/>
      <c r="CL137" s="138"/>
      <c r="CM137" s="140"/>
      <c r="CR137" s="124"/>
      <c r="CV137" s="125"/>
      <c r="CW137" s="124"/>
      <c r="CZ137" s="126"/>
      <c r="DA137" s="124"/>
      <c r="DE137" s="124"/>
      <c r="DJ137" s="124"/>
      <c r="DK137" s="125"/>
      <c r="DM137" s="126"/>
      <c r="DN137" s="124"/>
      <c r="DS137" s="124"/>
      <c r="EA137" s="124"/>
      <c r="EE137" s="125"/>
      <c r="EF137" s="124"/>
      <c r="EJ137" s="124"/>
      <c r="EN137" s="124"/>
      <c r="ER137" s="126"/>
      <c r="EV137" s="125"/>
      <c r="EW137" s="124"/>
      <c r="EX137" s="79" t="s">
        <v>204</v>
      </c>
      <c r="EZ137" s="126"/>
      <c r="FF137" s="124"/>
      <c r="FI137" s="126"/>
      <c r="FK137" s="125"/>
      <c r="FN137" s="124"/>
      <c r="FR137" s="126"/>
      <c r="FW137" s="124"/>
      <c r="FZ137" s="126"/>
      <c r="GA137" s="124"/>
      <c r="GE137" s="141"/>
      <c r="GJ137" s="124"/>
      <c r="GM137" s="126"/>
      <c r="GS137" s="124"/>
      <c r="GV137" s="126"/>
      <c r="HA137" s="124"/>
      <c r="HE137" s="126"/>
      <c r="HJ137" s="124"/>
      <c r="HM137" s="126"/>
      <c r="HS137" s="124"/>
      <c r="HV137" s="126"/>
      <c r="IA137" s="124"/>
      <c r="IE137" s="125"/>
      <c r="IF137" s="124"/>
      <c r="II137" s="126"/>
      <c r="IN137" s="124"/>
      <c r="IR137" s="126"/>
      <c r="IW137" s="124"/>
      <c r="IZ137" s="126"/>
      <c r="JF137" s="124"/>
      <c r="JI137" s="126"/>
      <c r="JN137" s="124"/>
      <c r="JR137" s="126"/>
      <c r="JW137" s="124"/>
      <c r="JZ137" s="126"/>
      <c r="KD137" s="141"/>
      <c r="KE137" s="124"/>
      <c r="KH137" s="126"/>
    </row>
    <row r="138" spans="2:294" ht="18.600000000000001">
      <c r="B138" s="127"/>
      <c r="C138" s="244"/>
      <c r="D138" s="129"/>
      <c r="E138" s="130"/>
      <c r="F138" s="131"/>
      <c r="G138" s="131"/>
      <c r="H138" s="131"/>
      <c r="I138" s="132"/>
      <c r="J138" s="133"/>
      <c r="K138" s="131"/>
      <c r="L138" s="131"/>
      <c r="M138" s="132"/>
      <c r="N138" s="134"/>
      <c r="O138" s="131"/>
      <c r="P138" s="131"/>
      <c r="Q138" s="132"/>
      <c r="R138" s="134"/>
      <c r="S138" s="131"/>
      <c r="T138" s="131"/>
      <c r="U138" s="132"/>
      <c r="V138" s="130"/>
      <c r="W138" s="131"/>
      <c r="X138" s="131"/>
      <c r="Y138" s="131"/>
      <c r="Z138" s="132"/>
      <c r="AA138" s="134"/>
      <c r="AB138" s="131"/>
      <c r="AC138" s="131"/>
      <c r="AD138" s="132"/>
      <c r="AE138" s="134"/>
      <c r="AF138" s="131"/>
      <c r="AG138" s="131"/>
      <c r="AH138" s="132"/>
      <c r="AI138" s="134"/>
      <c r="AJ138" s="131"/>
      <c r="AK138" s="135"/>
      <c r="AL138" s="131"/>
      <c r="AM138" s="132"/>
      <c r="AN138" s="134"/>
      <c r="AO138" s="131"/>
      <c r="AP138" s="131"/>
      <c r="AQ138" s="132"/>
      <c r="AR138" s="134"/>
      <c r="AS138" s="131"/>
      <c r="AT138" s="131"/>
      <c r="AU138" s="131"/>
      <c r="AV138" s="132"/>
      <c r="AW138" s="134"/>
      <c r="AX138" s="131"/>
      <c r="AY138" s="131"/>
      <c r="AZ138" s="132"/>
      <c r="BA138" s="134"/>
      <c r="BB138" s="131"/>
      <c r="BC138" s="131"/>
      <c r="BD138" s="132"/>
      <c r="BE138" s="134"/>
      <c r="BF138" s="136"/>
      <c r="BG138" s="136"/>
      <c r="BH138" s="131"/>
      <c r="BI138" s="132"/>
      <c r="BJ138" s="133"/>
      <c r="BK138" s="135"/>
      <c r="BL138" s="131"/>
      <c r="BM138" s="136"/>
      <c r="BN138" s="134"/>
      <c r="BO138" s="131"/>
      <c r="BP138" s="131"/>
      <c r="BQ138" s="132"/>
      <c r="BR138" s="133"/>
      <c r="BS138" s="131"/>
      <c r="BT138" s="131"/>
      <c r="BU138" s="131"/>
      <c r="BV138" s="136"/>
      <c r="BW138" s="134"/>
      <c r="BX138" s="131"/>
      <c r="BY138" s="131"/>
      <c r="BZ138" s="132"/>
      <c r="CA138" s="133"/>
      <c r="CB138" s="131"/>
      <c r="CC138" s="131"/>
      <c r="CD138" s="132"/>
      <c r="CE138" s="137"/>
      <c r="CF138" s="133"/>
      <c r="CG138" s="138"/>
      <c r="CH138" s="138"/>
      <c r="CI138" s="139"/>
      <c r="CJ138" s="134"/>
      <c r="CK138" s="138"/>
      <c r="CL138" s="138"/>
      <c r="CM138" s="140"/>
      <c r="CR138" s="124"/>
      <c r="CV138" s="125"/>
      <c r="CW138" s="124"/>
      <c r="CZ138" s="126"/>
      <c r="DA138" s="124"/>
      <c r="DE138" s="124"/>
      <c r="DJ138" s="124"/>
      <c r="DK138" s="125"/>
      <c r="DM138" s="126"/>
      <c r="DN138" s="124"/>
      <c r="DS138" s="124"/>
      <c r="EA138" s="124"/>
      <c r="EE138" s="125"/>
      <c r="EF138" s="124"/>
      <c r="EJ138" s="124"/>
      <c r="EN138" s="124"/>
      <c r="ER138" s="126"/>
      <c r="EV138" s="125"/>
      <c r="EW138" s="124"/>
      <c r="EZ138" s="126"/>
      <c r="FF138" s="124"/>
      <c r="FI138" s="126"/>
      <c r="FK138" s="125"/>
      <c r="FN138" s="124"/>
      <c r="FR138" s="126"/>
      <c r="FW138" s="124"/>
      <c r="FZ138" s="126"/>
      <c r="GA138" s="124"/>
      <c r="GE138" s="141"/>
      <c r="GJ138" s="124"/>
      <c r="GM138" s="126"/>
      <c r="GS138" s="124"/>
      <c r="GV138" s="126"/>
      <c r="HA138" s="124"/>
      <c r="HE138" s="126"/>
      <c r="HJ138" s="124"/>
      <c r="HM138" s="126"/>
      <c r="HS138" s="124"/>
      <c r="HV138" s="126"/>
      <c r="IA138" s="124"/>
      <c r="IE138" s="125"/>
      <c r="IF138" s="124"/>
      <c r="II138" s="126"/>
      <c r="IN138" s="124"/>
      <c r="IR138" s="126"/>
      <c r="IW138" s="124"/>
      <c r="IZ138" s="126"/>
      <c r="JF138" s="124"/>
      <c r="JI138" s="126"/>
      <c r="JN138" s="124"/>
      <c r="JR138" s="126"/>
      <c r="JW138" s="124"/>
      <c r="JZ138" s="126"/>
      <c r="KD138" s="141"/>
      <c r="KE138" s="124"/>
      <c r="KH138" s="126"/>
    </row>
    <row r="139" spans="2:294" ht="19.2" thickBot="1">
      <c r="B139" s="127"/>
      <c r="C139" s="252"/>
      <c r="D139" s="158"/>
      <c r="E139" s="159"/>
      <c r="F139" s="160"/>
      <c r="G139" s="160"/>
      <c r="H139" s="160"/>
      <c r="I139" s="161"/>
      <c r="J139" s="162"/>
      <c r="K139" s="160"/>
      <c r="L139" s="160"/>
      <c r="M139" s="161"/>
      <c r="N139" s="163"/>
      <c r="O139" s="160"/>
      <c r="P139" s="160"/>
      <c r="Q139" s="161"/>
      <c r="R139" s="163"/>
      <c r="S139" s="160"/>
      <c r="T139" s="160"/>
      <c r="U139" s="161"/>
      <c r="V139" s="159"/>
      <c r="W139" s="160"/>
      <c r="X139" s="160"/>
      <c r="Y139" s="160"/>
      <c r="Z139" s="161"/>
      <c r="AA139" s="163"/>
      <c r="AB139" s="160"/>
      <c r="AC139" s="160"/>
      <c r="AD139" s="161"/>
      <c r="AE139" s="163"/>
      <c r="AF139" s="160"/>
      <c r="AG139" s="160"/>
      <c r="AH139" s="161"/>
      <c r="AI139" s="163"/>
      <c r="AJ139" s="160"/>
      <c r="AK139" s="164"/>
      <c r="AL139" s="160"/>
      <c r="AM139" s="161"/>
      <c r="AN139" s="163"/>
      <c r="AO139" s="160"/>
      <c r="AP139" s="160"/>
      <c r="AQ139" s="161"/>
      <c r="AR139" s="163"/>
      <c r="AS139" s="160"/>
      <c r="AT139" s="160"/>
      <c r="AU139" s="160"/>
      <c r="AV139" s="161"/>
      <c r="AW139" s="163"/>
      <c r="AX139" s="160"/>
      <c r="AY139" s="160"/>
      <c r="AZ139" s="161"/>
      <c r="BA139" s="163"/>
      <c r="BB139" s="160"/>
      <c r="BC139" s="160"/>
      <c r="BD139" s="161"/>
      <c r="BE139" s="163"/>
      <c r="BF139" s="165"/>
      <c r="BG139" s="165"/>
      <c r="BH139" s="160"/>
      <c r="BI139" s="161"/>
      <c r="BJ139" s="162"/>
      <c r="BK139" s="164"/>
      <c r="BL139" s="160"/>
      <c r="BM139" s="165"/>
      <c r="BN139" s="163"/>
      <c r="BO139" s="160"/>
      <c r="BP139" s="160"/>
      <c r="BQ139" s="161"/>
      <c r="BR139" s="162"/>
      <c r="BS139" s="160"/>
      <c r="BT139" s="160"/>
      <c r="BU139" s="160"/>
      <c r="BV139" s="165"/>
      <c r="BW139" s="163"/>
      <c r="BX139" s="160"/>
      <c r="BY139" s="160"/>
      <c r="BZ139" s="161"/>
      <c r="CA139" s="162"/>
      <c r="CB139" s="160"/>
      <c r="CC139" s="160"/>
      <c r="CD139" s="161"/>
      <c r="CE139" s="166"/>
      <c r="CF139" s="162"/>
      <c r="CG139" s="167"/>
      <c r="CH139" s="167"/>
      <c r="CI139" s="168"/>
      <c r="CJ139" s="163"/>
      <c r="CK139" s="167"/>
      <c r="CL139" s="167"/>
      <c r="CM139" s="169"/>
      <c r="CN139" s="145"/>
      <c r="CO139" s="145"/>
      <c r="CP139" s="145"/>
      <c r="CQ139" s="145"/>
      <c r="CR139" s="146"/>
      <c r="CS139" s="145"/>
      <c r="CT139" s="145"/>
      <c r="CU139" s="145"/>
      <c r="CV139" s="147"/>
      <c r="CW139" s="146"/>
      <c r="CX139" s="145"/>
      <c r="CY139" s="145"/>
      <c r="CZ139" s="148"/>
      <c r="DA139" s="146"/>
      <c r="DB139" s="145"/>
      <c r="DC139" s="145"/>
      <c r="DD139" s="145"/>
      <c r="DE139" s="146"/>
      <c r="DF139" s="145"/>
      <c r="DG139" s="145"/>
      <c r="DH139" s="145"/>
      <c r="DI139" s="145"/>
      <c r="DJ139" s="146"/>
      <c r="DK139" s="147"/>
      <c r="DL139" s="145"/>
      <c r="DM139" s="148"/>
      <c r="DN139" s="146"/>
      <c r="DO139" s="145"/>
      <c r="DP139" s="145"/>
      <c r="DQ139" s="145"/>
      <c r="DR139" s="145"/>
      <c r="DS139" s="146"/>
      <c r="DT139" s="145"/>
      <c r="DU139" s="145"/>
      <c r="DV139" s="145"/>
      <c r="DW139" s="145"/>
      <c r="DX139" s="145"/>
      <c r="DY139" s="145"/>
      <c r="DZ139" s="145"/>
      <c r="EA139" s="146"/>
      <c r="EB139" s="145"/>
      <c r="EC139" s="145"/>
      <c r="ED139" s="145"/>
      <c r="EE139" s="147"/>
      <c r="EF139" s="146"/>
      <c r="EG139" s="145"/>
      <c r="EH139" s="145"/>
      <c r="EI139" s="145"/>
      <c r="EJ139" s="146"/>
      <c r="EK139" s="145"/>
      <c r="EL139" s="145"/>
      <c r="EM139" s="145"/>
      <c r="EN139" s="146"/>
      <c r="EO139" s="145"/>
      <c r="EP139" s="145"/>
      <c r="EQ139" s="145"/>
      <c r="ER139" s="148"/>
      <c r="ES139" s="145"/>
      <c r="ET139" s="145"/>
      <c r="EU139" s="145"/>
      <c r="EV139" s="147"/>
      <c r="EW139" s="146"/>
      <c r="EX139" s="145"/>
      <c r="EY139" s="145"/>
      <c r="EZ139" s="148"/>
      <c r="FA139" s="145"/>
      <c r="FB139" s="145"/>
      <c r="FC139" s="145"/>
      <c r="FD139" s="145"/>
      <c r="FE139" s="145"/>
      <c r="FF139" s="146"/>
      <c r="FG139" s="145"/>
      <c r="FH139" s="145"/>
      <c r="FI139" s="148"/>
      <c r="FJ139" s="145"/>
      <c r="FK139" s="147"/>
      <c r="FL139" s="145"/>
      <c r="FM139" s="145"/>
      <c r="FN139" s="146"/>
      <c r="FO139" s="145"/>
      <c r="FP139" s="145"/>
      <c r="FQ139" s="145"/>
      <c r="FR139" s="148"/>
      <c r="FS139" s="145"/>
      <c r="FT139" s="145"/>
      <c r="FU139" s="145"/>
      <c r="FV139" s="145"/>
      <c r="FW139" s="146"/>
      <c r="FX139" s="145"/>
      <c r="FY139" s="145"/>
      <c r="FZ139" s="148"/>
      <c r="GA139" s="146"/>
      <c r="GB139" s="145"/>
      <c r="GC139" s="145"/>
      <c r="GD139" s="145"/>
      <c r="GE139" s="149"/>
      <c r="GF139" s="145"/>
      <c r="GG139" s="145"/>
      <c r="GH139" s="145"/>
      <c r="GI139" s="145"/>
      <c r="GJ139" s="146"/>
      <c r="GK139" s="145"/>
      <c r="GL139" s="145"/>
      <c r="GM139" s="148"/>
      <c r="GN139" s="145"/>
      <c r="GO139" s="145"/>
      <c r="GP139" s="145"/>
      <c r="GQ139" s="145"/>
      <c r="GR139" s="145"/>
      <c r="GS139" s="146"/>
      <c r="GT139" s="145"/>
      <c r="GU139" s="145"/>
      <c r="GV139" s="148"/>
      <c r="GW139" s="145"/>
      <c r="GX139" s="145"/>
      <c r="GY139" s="145"/>
      <c r="GZ139" s="145"/>
      <c r="HA139" s="146"/>
      <c r="HB139" s="145"/>
      <c r="HC139" s="145"/>
      <c r="HD139" s="145"/>
      <c r="HE139" s="148"/>
      <c r="HF139" s="145"/>
      <c r="HG139" s="145"/>
      <c r="HH139" s="145"/>
      <c r="HI139" s="145"/>
      <c r="HJ139" s="146"/>
      <c r="HK139" s="145"/>
      <c r="HL139" s="145"/>
      <c r="HM139" s="148"/>
      <c r="HN139" s="145"/>
      <c r="HO139" s="145"/>
      <c r="HP139" s="145"/>
      <c r="HQ139" s="145"/>
      <c r="HR139" s="145"/>
      <c r="HS139" s="146"/>
      <c r="HT139" s="145"/>
      <c r="HU139" s="145"/>
      <c r="HV139" s="148"/>
      <c r="HW139" s="145"/>
      <c r="HX139" s="145"/>
      <c r="HY139" s="145"/>
      <c r="HZ139" s="145"/>
      <c r="IA139" s="146"/>
      <c r="IB139" s="145"/>
      <c r="IC139" s="145"/>
      <c r="ID139" s="145"/>
      <c r="IE139" s="147"/>
      <c r="IF139" s="146"/>
      <c r="IG139" s="145"/>
      <c r="IH139" s="145"/>
      <c r="II139" s="148"/>
      <c r="IJ139" s="145"/>
      <c r="IK139" s="145"/>
      <c r="IL139" s="145"/>
      <c r="IM139" s="145"/>
      <c r="IN139" s="146"/>
      <c r="IO139" s="145"/>
      <c r="IP139" s="145"/>
      <c r="IQ139" s="145"/>
      <c r="IR139" s="148"/>
      <c r="IS139" s="145"/>
      <c r="IT139" s="145"/>
      <c r="IU139" s="145"/>
      <c r="IV139" s="145"/>
      <c r="IW139" s="146"/>
      <c r="IX139" s="145"/>
      <c r="IY139" s="145"/>
      <c r="IZ139" s="148"/>
      <c r="JA139" s="145"/>
      <c r="JB139" s="145"/>
      <c r="JC139" s="145"/>
      <c r="JD139" s="145"/>
      <c r="JE139" s="145"/>
      <c r="JF139" s="146"/>
      <c r="JG139" s="145"/>
      <c r="JH139" s="145"/>
      <c r="JI139" s="148"/>
      <c r="JJ139" s="145"/>
      <c r="JK139" s="145"/>
      <c r="JL139" s="145"/>
      <c r="JM139" s="145"/>
      <c r="JN139" s="146"/>
      <c r="JO139" s="145"/>
      <c r="JP139" s="145"/>
      <c r="JQ139" s="145"/>
      <c r="JR139" s="148"/>
      <c r="JS139" s="145"/>
      <c r="JT139" s="145"/>
      <c r="JU139" s="145"/>
      <c r="JV139" s="145"/>
      <c r="JW139" s="146"/>
      <c r="JX139" s="145"/>
      <c r="JY139" s="145"/>
      <c r="JZ139" s="148"/>
      <c r="KA139" s="145"/>
      <c r="KB139" s="145"/>
      <c r="KC139" s="145"/>
      <c r="KD139" s="149"/>
      <c r="KE139" s="146"/>
      <c r="KF139" s="145"/>
      <c r="KG139" s="145"/>
      <c r="KH139" s="148"/>
    </row>
    <row r="140" spans="2:294" ht="19.2" thickTop="1">
      <c r="B140" s="127"/>
      <c r="C140" s="244"/>
      <c r="D140" s="129"/>
      <c r="E140" s="130"/>
      <c r="F140" s="131"/>
      <c r="G140" s="131"/>
      <c r="H140" s="131"/>
      <c r="I140" s="132"/>
      <c r="J140" s="133"/>
      <c r="K140" s="131"/>
      <c r="L140" s="131"/>
      <c r="M140" s="132"/>
      <c r="N140" s="134"/>
      <c r="O140" s="131"/>
      <c r="P140" s="131"/>
      <c r="Q140" s="132"/>
      <c r="R140" s="134"/>
      <c r="S140" s="131"/>
      <c r="T140" s="131"/>
      <c r="U140" s="132"/>
      <c r="V140" s="130"/>
      <c r="W140" s="131"/>
      <c r="X140" s="131"/>
      <c r="Y140" s="131"/>
      <c r="Z140" s="132"/>
      <c r="AA140" s="134"/>
      <c r="AB140" s="131"/>
      <c r="AC140" s="131"/>
      <c r="AD140" s="132"/>
      <c r="AE140" s="134"/>
      <c r="AF140" s="131"/>
      <c r="AG140" s="131"/>
      <c r="AH140" s="132"/>
      <c r="AI140" s="134"/>
      <c r="AJ140" s="131"/>
      <c r="AK140" s="135"/>
      <c r="AL140" s="131"/>
      <c r="AM140" s="132"/>
      <c r="AN140" s="134"/>
      <c r="AO140" s="131"/>
      <c r="AP140" s="131"/>
      <c r="AQ140" s="132"/>
      <c r="AR140" s="134"/>
      <c r="AS140" s="131"/>
      <c r="AT140" s="131"/>
      <c r="AU140" s="131"/>
      <c r="AV140" s="132"/>
      <c r="AW140" s="134"/>
      <c r="AX140" s="131"/>
      <c r="AY140" s="131"/>
      <c r="AZ140" s="132"/>
      <c r="BA140" s="134"/>
      <c r="BB140" s="131"/>
      <c r="BC140" s="131"/>
      <c r="BD140" s="132"/>
      <c r="BE140" s="134"/>
      <c r="BF140" s="136"/>
      <c r="BG140" s="136"/>
      <c r="BH140" s="131"/>
      <c r="BI140" s="132"/>
      <c r="BJ140" s="133"/>
      <c r="BK140" s="135"/>
      <c r="BL140" s="131"/>
      <c r="BM140" s="136"/>
      <c r="BN140" s="134"/>
      <c r="BO140" s="131"/>
      <c r="BP140" s="131"/>
      <c r="BQ140" s="132"/>
      <c r="BR140" s="133"/>
      <c r="BS140" s="131"/>
      <c r="BT140" s="131"/>
      <c r="BU140" s="131"/>
      <c r="BV140" s="136"/>
      <c r="BW140" s="134"/>
      <c r="BX140" s="131"/>
      <c r="BY140" s="131"/>
      <c r="BZ140" s="132"/>
      <c r="CA140" s="133"/>
      <c r="CB140" s="131"/>
      <c r="CC140" s="131"/>
      <c r="CD140" s="132"/>
      <c r="CE140" s="137"/>
      <c r="CF140" s="133"/>
      <c r="CG140" s="138"/>
      <c r="CH140" s="138"/>
      <c r="CI140" s="139"/>
      <c r="CJ140" s="134"/>
      <c r="CK140" s="138"/>
      <c r="CL140" s="138"/>
      <c r="CM140" s="140"/>
      <c r="CR140" s="124"/>
      <c r="CV140" s="125"/>
      <c r="CW140" s="124"/>
      <c r="CZ140" s="126"/>
      <c r="DA140" s="124"/>
      <c r="DE140" s="124"/>
      <c r="DJ140" s="124"/>
      <c r="DK140" s="125"/>
      <c r="DM140" s="126"/>
      <c r="DN140" s="124"/>
      <c r="DS140" s="124"/>
      <c r="EA140" s="124"/>
      <c r="EE140" s="125"/>
      <c r="EF140" s="124"/>
      <c r="EJ140" s="124"/>
      <c r="EN140" s="124"/>
      <c r="ER140" s="126"/>
      <c r="EV140" s="125"/>
      <c r="EW140" s="124"/>
      <c r="EZ140" s="126"/>
      <c r="FF140" s="124"/>
      <c r="FI140" s="126"/>
      <c r="FK140" s="125"/>
      <c r="FN140" s="124"/>
      <c r="FR140" s="126"/>
      <c r="FW140" s="124"/>
      <c r="FZ140" s="126"/>
      <c r="GA140" s="124"/>
      <c r="GE140" s="141"/>
      <c r="GJ140" s="124"/>
      <c r="GM140" s="126"/>
      <c r="GS140" s="124"/>
      <c r="GV140" s="126"/>
      <c r="HA140" s="124"/>
      <c r="HE140" s="126"/>
      <c r="HJ140" s="124"/>
      <c r="HM140" s="126"/>
      <c r="HS140" s="124"/>
      <c r="HV140" s="126"/>
      <c r="IA140" s="124"/>
      <c r="IE140" s="125"/>
      <c r="IF140" s="124"/>
      <c r="II140" s="126"/>
      <c r="IN140" s="124"/>
      <c r="IR140" s="126"/>
      <c r="IW140" s="124"/>
      <c r="IZ140" s="126"/>
      <c r="JF140" s="124"/>
      <c r="JI140" s="126"/>
      <c r="JN140" s="124"/>
      <c r="JR140" s="126"/>
      <c r="JW140" s="150"/>
      <c r="JX140" s="151"/>
      <c r="JY140" s="151"/>
      <c r="JZ140" s="154"/>
      <c r="KA140" s="151"/>
      <c r="KB140" s="151"/>
      <c r="KC140" s="151"/>
      <c r="KD140" s="156"/>
      <c r="KE140" s="150"/>
      <c r="KF140" s="151"/>
      <c r="KG140" s="151"/>
      <c r="KH140" s="154"/>
    </row>
    <row r="141" spans="2:294" ht="18.600000000000001">
      <c r="B141" s="127"/>
      <c r="C141" s="323" t="s">
        <v>164</v>
      </c>
      <c r="D141" s="129" t="s">
        <v>186</v>
      </c>
      <c r="E141" s="130"/>
      <c r="F141" s="131"/>
      <c r="G141" s="131"/>
      <c r="H141" s="131"/>
      <c r="I141" s="132"/>
      <c r="J141" s="133"/>
      <c r="K141" s="131"/>
      <c r="L141" s="131"/>
      <c r="M141" s="132"/>
      <c r="N141" s="134"/>
      <c r="O141" s="131"/>
      <c r="P141" s="131"/>
      <c r="Q141" s="132"/>
      <c r="R141" s="134"/>
      <c r="S141" s="131"/>
      <c r="T141" s="131"/>
      <c r="U141" s="132"/>
      <c r="V141" s="130"/>
      <c r="W141" s="131"/>
      <c r="X141" s="131"/>
      <c r="Y141" s="131"/>
      <c r="Z141" s="132"/>
      <c r="AA141" s="134"/>
      <c r="AB141" s="131"/>
      <c r="AC141" s="131"/>
      <c r="AD141" s="132"/>
      <c r="AE141" s="134"/>
      <c r="AF141" s="131"/>
      <c r="AG141" s="131"/>
      <c r="AH141" s="132"/>
      <c r="AI141" s="134"/>
      <c r="AJ141" s="131"/>
      <c r="AK141" s="135"/>
      <c r="AL141" s="131"/>
      <c r="AM141" s="132"/>
      <c r="AN141" s="134"/>
      <c r="AO141" s="131"/>
      <c r="AP141" s="131"/>
      <c r="AQ141" s="132"/>
      <c r="AR141" s="134"/>
      <c r="AS141" s="131"/>
      <c r="AT141" s="131"/>
      <c r="AU141" s="131"/>
      <c r="AV141" s="132"/>
      <c r="AW141" s="134"/>
      <c r="AX141" s="131"/>
      <c r="AY141" s="131"/>
      <c r="AZ141" s="132"/>
      <c r="BA141" s="134"/>
      <c r="BB141" s="131"/>
      <c r="BC141" s="131"/>
      <c r="BD141" s="132"/>
      <c r="BE141" s="134"/>
      <c r="BF141" s="136"/>
      <c r="BG141" s="136"/>
      <c r="BH141" s="131"/>
      <c r="BI141" s="132"/>
      <c r="BJ141" s="133"/>
      <c r="BK141" s="135"/>
      <c r="BL141" s="131"/>
      <c r="BM141" s="136"/>
      <c r="BN141" s="134"/>
      <c r="BO141" s="131"/>
      <c r="BP141" s="131"/>
      <c r="BQ141" s="132"/>
      <c r="BR141" s="133"/>
      <c r="BS141" s="131"/>
      <c r="BT141" s="131"/>
      <c r="BU141" s="131"/>
      <c r="BV141" s="136"/>
      <c r="BW141" s="134"/>
      <c r="BX141" s="131"/>
      <c r="BY141" s="131"/>
      <c r="BZ141" s="132"/>
      <c r="CA141" s="133"/>
      <c r="CB141" s="131"/>
      <c r="CC141" s="131"/>
      <c r="CD141" s="132"/>
      <c r="CE141" s="137"/>
      <c r="CF141" s="133"/>
      <c r="CG141" s="138"/>
      <c r="CH141" s="138"/>
      <c r="CI141" s="139"/>
      <c r="CJ141" s="134"/>
      <c r="CK141" s="138"/>
      <c r="CL141" s="138"/>
      <c r="CM141" s="140"/>
      <c r="CR141" s="124"/>
      <c r="CV141" s="125"/>
      <c r="CW141" s="124"/>
      <c r="CZ141" s="126"/>
      <c r="DA141" s="124"/>
      <c r="DE141" s="124"/>
      <c r="DJ141" s="124"/>
      <c r="DK141" s="125"/>
      <c r="DM141" s="126"/>
      <c r="DN141" s="124"/>
      <c r="DS141" s="124"/>
      <c r="EA141" s="124"/>
      <c r="EE141" s="125"/>
      <c r="EF141" s="124"/>
      <c r="EJ141" s="124"/>
      <c r="EN141" s="124"/>
      <c r="ER141" s="126"/>
      <c r="EV141" s="125"/>
      <c r="EW141" s="124"/>
      <c r="EZ141" s="126"/>
      <c r="FF141" s="124"/>
      <c r="FI141" s="126"/>
      <c r="FK141" s="125"/>
      <c r="FN141" s="124"/>
      <c r="FR141" s="126"/>
      <c r="FW141" s="124"/>
      <c r="FZ141" s="126"/>
      <c r="GA141" s="124"/>
      <c r="GE141" s="141"/>
      <c r="GJ141" s="124"/>
      <c r="GM141" s="126"/>
      <c r="GS141" s="124"/>
      <c r="GV141" s="126"/>
      <c r="HA141" s="124"/>
      <c r="HE141" s="126"/>
      <c r="HJ141" s="124"/>
      <c r="HM141" s="126"/>
      <c r="HS141" s="124"/>
      <c r="HV141" s="126"/>
      <c r="IA141" s="124"/>
      <c r="IE141" s="125"/>
      <c r="IF141" s="124"/>
      <c r="II141" s="126"/>
      <c r="IN141" s="124"/>
      <c r="IR141" s="126"/>
      <c r="IW141" s="124"/>
      <c r="IZ141" s="126"/>
      <c r="JF141" s="124"/>
      <c r="JI141" s="126"/>
      <c r="JN141" s="124"/>
      <c r="JR141" s="126"/>
      <c r="JW141" s="124"/>
      <c r="JZ141" s="126"/>
      <c r="KD141" s="141"/>
      <c r="KE141" s="124"/>
      <c r="KH141" s="126"/>
    </row>
    <row r="142" spans="2:294" ht="18.600000000000001">
      <c r="B142" s="127"/>
      <c r="C142" s="244" t="s">
        <v>162</v>
      </c>
      <c r="D142" s="129"/>
      <c r="E142" s="130"/>
      <c r="F142" s="131"/>
      <c r="G142" s="131"/>
      <c r="H142" s="131"/>
      <c r="I142" s="132"/>
      <c r="J142" s="133"/>
      <c r="K142" s="131"/>
      <c r="L142" s="131"/>
      <c r="M142" s="132"/>
      <c r="N142" s="134"/>
      <c r="O142" s="131"/>
      <c r="P142" s="131"/>
      <c r="Q142" s="132"/>
      <c r="R142" s="134"/>
      <c r="S142" s="131"/>
      <c r="T142" s="131"/>
      <c r="U142" s="132"/>
      <c r="V142" s="130"/>
      <c r="W142" s="131"/>
      <c r="X142" s="131"/>
      <c r="Y142" s="131"/>
      <c r="Z142" s="132"/>
      <c r="AA142" s="134"/>
      <c r="AB142" s="131"/>
      <c r="AC142" s="131"/>
      <c r="AD142" s="132"/>
      <c r="AE142" s="134"/>
      <c r="AF142" s="131"/>
      <c r="AG142" s="131"/>
      <c r="AH142" s="132"/>
      <c r="AI142" s="134"/>
      <c r="AJ142" s="131"/>
      <c r="AK142" s="135"/>
      <c r="AL142" s="131"/>
      <c r="AM142" s="132"/>
      <c r="AN142" s="134"/>
      <c r="AO142" s="131"/>
      <c r="AP142" s="131"/>
      <c r="AQ142" s="132"/>
      <c r="AR142" s="134"/>
      <c r="AS142" s="131"/>
      <c r="AT142" s="131"/>
      <c r="AU142" s="131"/>
      <c r="AV142" s="132"/>
      <c r="AW142" s="134"/>
      <c r="AX142" s="131"/>
      <c r="AY142" s="131"/>
      <c r="AZ142" s="132"/>
      <c r="BA142" s="134"/>
      <c r="BB142" s="131"/>
      <c r="BC142" s="131"/>
      <c r="BD142" s="132"/>
      <c r="BE142" s="134"/>
      <c r="BF142" s="136"/>
      <c r="BG142" s="136"/>
      <c r="BH142" s="131"/>
      <c r="BI142" s="132"/>
      <c r="BJ142" s="133"/>
      <c r="BK142" s="135"/>
      <c r="BL142" s="131"/>
      <c r="BM142" s="136"/>
      <c r="BN142" s="134"/>
      <c r="BO142" s="131"/>
      <c r="BP142" s="131"/>
      <c r="BQ142" s="132"/>
      <c r="BR142" s="133"/>
      <c r="BS142" s="131"/>
      <c r="BT142" s="131"/>
      <c r="BU142" s="131"/>
      <c r="BV142" s="136"/>
      <c r="BW142" s="134"/>
      <c r="BX142" s="131"/>
      <c r="BY142" s="131"/>
      <c r="BZ142" s="132"/>
      <c r="CA142" s="133"/>
      <c r="CB142" s="131"/>
      <c r="CC142" s="131"/>
      <c r="CD142" s="132"/>
      <c r="CE142" s="137"/>
      <c r="CF142" s="133"/>
      <c r="CG142" s="138"/>
      <c r="CH142" s="138"/>
      <c r="CI142" s="139"/>
      <c r="CJ142" s="134"/>
      <c r="CK142" s="138"/>
      <c r="CL142" s="138"/>
      <c r="CM142" s="140"/>
      <c r="CR142" s="124"/>
      <c r="CV142" s="125"/>
      <c r="CW142" s="124"/>
      <c r="CZ142" s="126"/>
      <c r="DA142" s="124"/>
      <c r="DE142" s="124"/>
      <c r="DJ142" s="124"/>
      <c r="DK142" s="125"/>
      <c r="DM142" s="126"/>
      <c r="DN142" s="124"/>
      <c r="DS142" s="124"/>
      <c r="EA142" s="124"/>
      <c r="EE142" s="125"/>
      <c r="EF142" s="124"/>
      <c r="EJ142" s="124"/>
      <c r="EN142" s="124"/>
      <c r="ER142" s="126"/>
      <c r="EV142" s="125"/>
      <c r="EW142" s="124"/>
      <c r="EZ142" s="126"/>
      <c r="FF142" s="124"/>
      <c r="FI142" s="126"/>
      <c r="FK142" s="125"/>
      <c r="FN142" s="124"/>
      <c r="FR142" s="126"/>
      <c r="FW142" s="124"/>
      <c r="FZ142" s="126"/>
      <c r="GA142" s="124"/>
      <c r="GE142" s="141"/>
      <c r="GJ142" s="124"/>
      <c r="GM142" s="126"/>
      <c r="GS142" s="124"/>
      <c r="GV142" s="126"/>
      <c r="HA142" s="124"/>
      <c r="HE142" s="126"/>
      <c r="HJ142" s="124"/>
      <c r="HM142" s="126"/>
      <c r="HS142" s="124"/>
      <c r="HV142" s="126"/>
      <c r="IA142" s="124"/>
      <c r="IE142" s="125"/>
      <c r="IF142" s="124"/>
      <c r="II142" s="126"/>
      <c r="IN142" s="124"/>
      <c r="IR142" s="126"/>
      <c r="IW142" s="124"/>
      <c r="IZ142" s="126"/>
      <c r="JF142" s="124"/>
      <c r="JI142" s="126"/>
      <c r="JN142" s="124"/>
      <c r="JR142" s="126"/>
      <c r="JW142" s="124"/>
      <c r="JZ142" s="126"/>
      <c r="KD142" s="141"/>
      <c r="KE142" s="124"/>
      <c r="KH142" s="126"/>
    </row>
    <row r="143" spans="2:294" ht="18.600000000000001">
      <c r="B143" s="127"/>
      <c r="C143" s="244" t="s">
        <v>206</v>
      </c>
      <c r="D143" s="129"/>
      <c r="E143" s="130"/>
      <c r="F143" s="131"/>
      <c r="G143" s="131"/>
      <c r="H143" s="131"/>
      <c r="I143" s="132"/>
      <c r="J143" s="133"/>
      <c r="K143" s="131"/>
      <c r="L143" s="131"/>
      <c r="M143" s="132"/>
      <c r="N143" s="134"/>
      <c r="O143" s="131"/>
      <c r="P143" s="131"/>
      <c r="Q143" s="132"/>
      <c r="R143" s="134"/>
      <c r="S143" s="131"/>
      <c r="T143" s="131"/>
      <c r="U143" s="132"/>
      <c r="V143" s="130"/>
      <c r="W143" s="131"/>
      <c r="X143" s="131"/>
      <c r="Y143" s="131"/>
      <c r="Z143" s="132"/>
      <c r="AA143" s="134"/>
      <c r="AB143" s="131"/>
      <c r="AC143" s="131"/>
      <c r="AD143" s="132"/>
      <c r="AE143" s="134"/>
      <c r="AF143" s="131"/>
      <c r="AG143" s="131"/>
      <c r="AH143" s="132"/>
      <c r="AI143" s="134"/>
      <c r="AJ143" s="131"/>
      <c r="AK143" s="135"/>
      <c r="AL143" s="131"/>
      <c r="AM143" s="132"/>
      <c r="AN143" s="134"/>
      <c r="AO143" s="131"/>
      <c r="AP143" s="131"/>
      <c r="AQ143" s="132"/>
      <c r="AR143" s="134"/>
      <c r="AS143" s="131"/>
      <c r="AT143" s="131"/>
      <c r="AU143" s="131"/>
      <c r="AV143" s="132"/>
      <c r="AW143" s="134"/>
      <c r="AX143" s="131"/>
      <c r="AY143" s="131"/>
      <c r="AZ143" s="132"/>
      <c r="BA143" s="134"/>
      <c r="BB143" s="131"/>
      <c r="BC143" s="131"/>
      <c r="BD143" s="132"/>
      <c r="BE143" s="134"/>
      <c r="BF143" s="136"/>
      <c r="BG143" s="136"/>
      <c r="BH143" s="131"/>
      <c r="BI143" s="132"/>
      <c r="BJ143" s="133"/>
      <c r="BK143" s="135"/>
      <c r="BL143" s="131"/>
      <c r="BM143" s="136"/>
      <c r="BN143" s="134"/>
      <c r="BO143" s="131"/>
      <c r="BP143" s="131"/>
      <c r="BQ143" s="132"/>
      <c r="BR143" s="133"/>
      <c r="BS143" s="131"/>
      <c r="BT143" s="131"/>
      <c r="BU143" s="131"/>
      <c r="BV143" s="136"/>
      <c r="BW143" s="134"/>
      <c r="BX143" s="131"/>
      <c r="BY143" s="131"/>
      <c r="BZ143" s="132"/>
      <c r="CA143" s="133"/>
      <c r="CB143" s="131"/>
      <c r="CC143" s="131"/>
      <c r="CD143" s="132"/>
      <c r="CE143" s="137"/>
      <c r="CF143" s="133"/>
      <c r="CG143" s="138"/>
      <c r="CH143" s="138"/>
      <c r="CI143" s="139"/>
      <c r="CJ143" s="134"/>
      <c r="CK143" s="138"/>
      <c r="CL143" s="138"/>
      <c r="CM143" s="140"/>
      <c r="CR143" s="124"/>
      <c r="CV143" s="125"/>
      <c r="CW143" s="124"/>
      <c r="CZ143" s="126"/>
      <c r="DA143" s="124"/>
      <c r="DE143" s="124"/>
      <c r="DJ143" s="124"/>
      <c r="DK143" s="125"/>
      <c r="DM143" s="126"/>
      <c r="DN143" s="124"/>
      <c r="DS143" s="124"/>
      <c r="EA143" s="124"/>
      <c r="EE143" s="125"/>
      <c r="EF143" s="124"/>
      <c r="EJ143" s="124"/>
      <c r="EN143" s="124"/>
      <c r="ER143" s="126"/>
      <c r="EV143" s="125"/>
      <c r="EW143" s="124"/>
      <c r="EZ143" s="126"/>
      <c r="FF143" s="124"/>
      <c r="FI143" s="126"/>
      <c r="FK143" s="125"/>
      <c r="FN143" s="124"/>
      <c r="FR143" s="126"/>
      <c r="FW143" s="124"/>
      <c r="FZ143" s="126"/>
      <c r="GA143" s="124"/>
      <c r="GE143" s="141"/>
      <c r="GJ143" s="124"/>
      <c r="GM143" s="126"/>
      <c r="GS143" s="124"/>
      <c r="GV143" s="126"/>
      <c r="HA143" s="124"/>
      <c r="HE143" s="126"/>
      <c r="HJ143" s="124"/>
      <c r="HM143" s="126"/>
      <c r="HS143" s="124"/>
      <c r="HV143" s="126"/>
      <c r="IA143" s="124"/>
      <c r="IE143" s="125"/>
      <c r="IF143" s="124"/>
      <c r="II143" s="126"/>
      <c r="IN143" s="124"/>
      <c r="IR143" s="126"/>
      <c r="IW143" s="124"/>
      <c r="IZ143" s="126"/>
      <c r="JF143" s="124"/>
      <c r="JI143" s="126"/>
      <c r="JN143" s="124"/>
      <c r="JR143" s="126"/>
      <c r="JW143" s="124"/>
      <c r="JZ143" s="126"/>
      <c r="KD143" s="141"/>
      <c r="KE143" s="124"/>
      <c r="KH143" s="126"/>
    </row>
    <row r="144" spans="2:294" ht="18.600000000000001">
      <c r="B144" s="127"/>
      <c r="C144" s="244"/>
      <c r="D144" s="129"/>
      <c r="E144" s="130"/>
      <c r="F144" s="131"/>
      <c r="G144" s="131"/>
      <c r="H144" s="131"/>
      <c r="I144" s="132"/>
      <c r="J144" s="133"/>
      <c r="K144" s="131"/>
      <c r="L144" s="131"/>
      <c r="M144" s="132"/>
      <c r="N144" s="134"/>
      <c r="O144" s="131"/>
      <c r="P144" s="131"/>
      <c r="Q144" s="132"/>
      <c r="R144" s="134"/>
      <c r="S144" s="131"/>
      <c r="T144" s="131"/>
      <c r="U144" s="132"/>
      <c r="V144" s="130"/>
      <c r="W144" s="131"/>
      <c r="X144" s="131"/>
      <c r="Y144" s="131"/>
      <c r="Z144" s="132"/>
      <c r="AA144" s="134"/>
      <c r="AB144" s="131"/>
      <c r="AC144" s="131"/>
      <c r="AD144" s="132"/>
      <c r="AE144" s="134"/>
      <c r="AF144" s="131"/>
      <c r="AG144" s="131"/>
      <c r="AH144" s="132"/>
      <c r="AI144" s="134"/>
      <c r="AJ144" s="131"/>
      <c r="AK144" s="135"/>
      <c r="AL144" s="131"/>
      <c r="AM144" s="132"/>
      <c r="AN144" s="134"/>
      <c r="AO144" s="131"/>
      <c r="AP144" s="131"/>
      <c r="AQ144" s="132"/>
      <c r="AR144" s="134"/>
      <c r="AS144" s="131"/>
      <c r="AT144" s="131"/>
      <c r="AU144" s="131"/>
      <c r="AV144" s="132"/>
      <c r="AW144" s="134"/>
      <c r="AX144" s="131"/>
      <c r="AY144" s="131"/>
      <c r="AZ144" s="132"/>
      <c r="BA144" s="134"/>
      <c r="BB144" s="131"/>
      <c r="BC144" s="131"/>
      <c r="BD144" s="132"/>
      <c r="BE144" s="134"/>
      <c r="BF144" s="136"/>
      <c r="BG144" s="136"/>
      <c r="BH144" s="131"/>
      <c r="BI144" s="132"/>
      <c r="BJ144" s="133"/>
      <c r="BK144" s="135"/>
      <c r="BL144" s="131"/>
      <c r="BM144" s="136"/>
      <c r="BN144" s="134"/>
      <c r="BO144" s="131"/>
      <c r="BP144" s="131"/>
      <c r="BQ144" s="132"/>
      <c r="BR144" s="133"/>
      <c r="BS144" s="131"/>
      <c r="BT144" s="131"/>
      <c r="BU144" s="131"/>
      <c r="BV144" s="136"/>
      <c r="BW144" s="134"/>
      <c r="BX144" s="131"/>
      <c r="BY144" s="131"/>
      <c r="BZ144" s="132"/>
      <c r="CA144" s="133"/>
      <c r="CB144" s="131"/>
      <c r="CC144" s="131"/>
      <c r="CD144" s="132"/>
      <c r="CE144" s="137"/>
      <c r="CF144" s="133"/>
      <c r="CG144" s="138"/>
      <c r="CH144" s="138"/>
      <c r="CI144" s="139"/>
      <c r="CJ144" s="134"/>
      <c r="CK144" s="138"/>
      <c r="CL144" s="138"/>
      <c r="CM144" s="140"/>
      <c r="CR144" s="124"/>
      <c r="CV144" s="125"/>
      <c r="CW144" s="124"/>
      <c r="CZ144" s="126"/>
      <c r="DA144" s="124"/>
      <c r="DE144" s="124"/>
      <c r="DJ144" s="124"/>
      <c r="DK144" s="125"/>
      <c r="DM144" s="126"/>
      <c r="DN144" s="124"/>
      <c r="DS144" s="124"/>
      <c r="EA144" s="124"/>
      <c r="EE144" s="125"/>
      <c r="EF144" s="124"/>
      <c r="EJ144" s="124"/>
      <c r="EN144" s="124"/>
      <c r="ER144" s="126"/>
      <c r="EV144" s="125"/>
      <c r="EW144" s="124"/>
      <c r="EZ144" s="126"/>
      <c r="FF144" s="124"/>
      <c r="FI144" s="126"/>
      <c r="FK144" s="125"/>
      <c r="FN144" s="124"/>
      <c r="FR144" s="126"/>
      <c r="FW144" s="124"/>
      <c r="FZ144" s="126"/>
      <c r="GA144" s="124"/>
      <c r="GE144" s="141"/>
      <c r="GJ144" s="124"/>
      <c r="GM144" s="126"/>
      <c r="GS144" s="124"/>
      <c r="GV144" s="126"/>
      <c r="HA144" s="124"/>
      <c r="HE144" s="126"/>
      <c r="HJ144" s="124"/>
      <c r="HM144" s="126"/>
      <c r="HS144" s="124"/>
      <c r="HV144" s="126"/>
      <c r="IA144" s="124"/>
      <c r="IE144" s="125"/>
      <c r="IF144" s="124"/>
      <c r="II144" s="126"/>
      <c r="IN144" s="124"/>
      <c r="IR144" s="126"/>
      <c r="IW144" s="124"/>
      <c r="IZ144" s="126"/>
      <c r="JF144" s="124"/>
      <c r="JI144" s="126"/>
      <c r="JN144" s="124"/>
      <c r="JR144" s="126"/>
      <c r="JW144" s="124"/>
      <c r="JZ144" s="126"/>
      <c r="KD144" s="141"/>
      <c r="KE144" s="124"/>
      <c r="KH144" s="126"/>
    </row>
    <row r="145" spans="2:294" ht="19.2" thickBot="1">
      <c r="B145" s="127"/>
      <c r="C145" s="252"/>
      <c r="D145" s="158"/>
      <c r="E145" s="159"/>
      <c r="F145" s="160"/>
      <c r="G145" s="160"/>
      <c r="H145" s="160"/>
      <c r="I145" s="161"/>
      <c r="J145" s="162"/>
      <c r="K145" s="160"/>
      <c r="L145" s="160"/>
      <c r="M145" s="161"/>
      <c r="N145" s="163"/>
      <c r="O145" s="160"/>
      <c r="P145" s="160"/>
      <c r="Q145" s="161"/>
      <c r="R145" s="163"/>
      <c r="S145" s="160"/>
      <c r="T145" s="160"/>
      <c r="U145" s="161"/>
      <c r="V145" s="159"/>
      <c r="W145" s="160"/>
      <c r="X145" s="160"/>
      <c r="Y145" s="160"/>
      <c r="Z145" s="161"/>
      <c r="AA145" s="163"/>
      <c r="AB145" s="160"/>
      <c r="AC145" s="160"/>
      <c r="AD145" s="161"/>
      <c r="AE145" s="163"/>
      <c r="AF145" s="160"/>
      <c r="AG145" s="160"/>
      <c r="AH145" s="161"/>
      <c r="AI145" s="163"/>
      <c r="AJ145" s="160"/>
      <c r="AK145" s="164"/>
      <c r="AL145" s="160"/>
      <c r="AM145" s="161"/>
      <c r="AN145" s="163"/>
      <c r="AO145" s="160"/>
      <c r="AP145" s="160"/>
      <c r="AQ145" s="161"/>
      <c r="AR145" s="163"/>
      <c r="AS145" s="160"/>
      <c r="AT145" s="160"/>
      <c r="AU145" s="160"/>
      <c r="AV145" s="161"/>
      <c r="AW145" s="163"/>
      <c r="AX145" s="160"/>
      <c r="AY145" s="160"/>
      <c r="AZ145" s="161"/>
      <c r="BA145" s="163"/>
      <c r="BB145" s="160"/>
      <c r="BC145" s="160"/>
      <c r="BD145" s="161"/>
      <c r="BE145" s="163"/>
      <c r="BF145" s="165"/>
      <c r="BG145" s="165"/>
      <c r="BH145" s="160"/>
      <c r="BI145" s="161"/>
      <c r="BJ145" s="162"/>
      <c r="BK145" s="164"/>
      <c r="BL145" s="160"/>
      <c r="BM145" s="165"/>
      <c r="BN145" s="163"/>
      <c r="BO145" s="160"/>
      <c r="BP145" s="160"/>
      <c r="BQ145" s="161"/>
      <c r="BR145" s="162"/>
      <c r="BS145" s="160"/>
      <c r="BT145" s="160"/>
      <c r="BU145" s="160"/>
      <c r="BV145" s="165"/>
      <c r="BW145" s="163"/>
      <c r="BX145" s="160"/>
      <c r="BY145" s="160"/>
      <c r="BZ145" s="161"/>
      <c r="CA145" s="162"/>
      <c r="CB145" s="160"/>
      <c r="CC145" s="160"/>
      <c r="CD145" s="161"/>
      <c r="CE145" s="166"/>
      <c r="CF145" s="162"/>
      <c r="CG145" s="167"/>
      <c r="CH145" s="167"/>
      <c r="CI145" s="168"/>
      <c r="CJ145" s="163"/>
      <c r="CK145" s="167"/>
      <c r="CL145" s="167"/>
      <c r="CM145" s="169"/>
      <c r="CN145" s="145"/>
      <c r="CO145" s="145"/>
      <c r="CP145" s="145"/>
      <c r="CQ145" s="145"/>
      <c r="CR145" s="146"/>
      <c r="CS145" s="145"/>
      <c r="CT145" s="145"/>
      <c r="CU145" s="145"/>
      <c r="CV145" s="147"/>
      <c r="CW145" s="146"/>
      <c r="CX145" s="145"/>
      <c r="CY145" s="145"/>
      <c r="CZ145" s="148"/>
      <c r="DA145" s="146"/>
      <c r="DB145" s="145"/>
      <c r="DC145" s="145"/>
      <c r="DD145" s="145"/>
      <c r="DE145" s="146"/>
      <c r="DF145" s="145"/>
      <c r="DG145" s="145"/>
      <c r="DH145" s="145"/>
      <c r="DI145" s="145"/>
      <c r="DJ145" s="146"/>
      <c r="DK145" s="147"/>
      <c r="DL145" s="145"/>
      <c r="DM145" s="148"/>
      <c r="DN145" s="146"/>
      <c r="DO145" s="145"/>
      <c r="DP145" s="145"/>
      <c r="DQ145" s="145"/>
      <c r="DR145" s="145"/>
      <c r="DS145" s="146"/>
      <c r="DT145" s="145"/>
      <c r="DU145" s="145"/>
      <c r="DV145" s="145"/>
      <c r="DW145" s="145"/>
      <c r="DX145" s="145"/>
      <c r="DY145" s="145"/>
      <c r="DZ145" s="145"/>
      <c r="EA145" s="146"/>
      <c r="EB145" s="145"/>
      <c r="EC145" s="145"/>
      <c r="ED145" s="145"/>
      <c r="EE145" s="147"/>
      <c r="EF145" s="146"/>
      <c r="EG145" s="145"/>
      <c r="EH145" s="145"/>
      <c r="EI145" s="145"/>
      <c r="EJ145" s="146"/>
      <c r="EK145" s="145"/>
      <c r="EL145" s="145"/>
      <c r="EM145" s="145"/>
      <c r="EN145" s="146"/>
      <c r="EO145" s="145"/>
      <c r="EP145" s="145"/>
      <c r="EQ145" s="145"/>
      <c r="ER145" s="148"/>
      <c r="ES145" s="145"/>
      <c r="ET145" s="145"/>
      <c r="EU145" s="145"/>
      <c r="EV145" s="147"/>
      <c r="EW145" s="146"/>
      <c r="EX145" s="145"/>
      <c r="EY145" s="145"/>
      <c r="EZ145" s="148"/>
      <c r="FA145" s="145"/>
      <c r="FB145" s="145"/>
      <c r="FC145" s="145"/>
      <c r="FD145" s="145"/>
      <c r="FE145" s="145"/>
      <c r="FF145" s="146"/>
      <c r="FG145" s="145"/>
      <c r="FH145" s="145"/>
      <c r="FI145" s="148"/>
      <c r="FJ145" s="145"/>
      <c r="FK145" s="147"/>
      <c r="FL145" s="145"/>
      <c r="FM145" s="145"/>
      <c r="FN145" s="146"/>
      <c r="FO145" s="145"/>
      <c r="FP145" s="145"/>
      <c r="FQ145" s="145"/>
      <c r="FR145" s="148"/>
      <c r="FS145" s="145"/>
      <c r="FT145" s="145"/>
      <c r="FU145" s="145"/>
      <c r="FV145" s="145"/>
      <c r="FW145" s="146"/>
      <c r="FX145" s="145"/>
      <c r="FY145" s="145"/>
      <c r="FZ145" s="148"/>
      <c r="GA145" s="146"/>
      <c r="GB145" s="145"/>
      <c r="GC145" s="145"/>
      <c r="GD145" s="145"/>
      <c r="GE145" s="149"/>
      <c r="GF145" s="145"/>
      <c r="GG145" s="145"/>
      <c r="GH145" s="145"/>
      <c r="GI145" s="145"/>
      <c r="GJ145" s="146"/>
      <c r="GK145" s="145"/>
      <c r="GL145" s="145"/>
      <c r="GM145" s="148"/>
      <c r="GN145" s="145"/>
      <c r="GO145" s="145"/>
      <c r="GP145" s="145"/>
      <c r="GQ145" s="145"/>
      <c r="GR145" s="145"/>
      <c r="GS145" s="146"/>
      <c r="GT145" s="145"/>
      <c r="GU145" s="145"/>
      <c r="GV145" s="148"/>
      <c r="GW145" s="145"/>
      <c r="GX145" s="145"/>
      <c r="GY145" s="145"/>
      <c r="GZ145" s="145"/>
      <c r="HA145" s="146"/>
      <c r="HB145" s="145"/>
      <c r="HC145" s="145"/>
      <c r="HD145" s="145"/>
      <c r="HE145" s="148"/>
      <c r="HF145" s="145"/>
      <c r="HG145" s="145"/>
      <c r="HH145" s="145"/>
      <c r="HI145" s="145"/>
      <c r="HJ145" s="146"/>
      <c r="HK145" s="145"/>
      <c r="HL145" s="145"/>
      <c r="HM145" s="148"/>
      <c r="HN145" s="145"/>
      <c r="HO145" s="145"/>
      <c r="HP145" s="145"/>
      <c r="HQ145" s="145"/>
      <c r="HR145" s="145"/>
      <c r="HS145" s="146"/>
      <c r="HT145" s="145"/>
      <c r="HU145" s="145"/>
      <c r="HV145" s="148"/>
      <c r="HW145" s="145"/>
      <c r="HX145" s="145"/>
      <c r="HY145" s="145"/>
      <c r="HZ145" s="145"/>
      <c r="IA145" s="146"/>
      <c r="IB145" s="145"/>
      <c r="IC145" s="145"/>
      <c r="ID145" s="145"/>
      <c r="IE145" s="147"/>
      <c r="IF145" s="146"/>
      <c r="IG145" s="145"/>
      <c r="IH145" s="145"/>
      <c r="II145" s="148"/>
      <c r="IJ145" s="145"/>
      <c r="IK145" s="145"/>
      <c r="IL145" s="145"/>
      <c r="IM145" s="145"/>
      <c r="IN145" s="146"/>
      <c r="IO145" s="145"/>
      <c r="IP145" s="145"/>
      <c r="IQ145" s="145"/>
      <c r="IR145" s="148"/>
      <c r="IS145" s="145"/>
      <c r="IT145" s="145"/>
      <c r="IU145" s="145"/>
      <c r="IV145" s="145"/>
      <c r="IW145" s="146"/>
      <c r="IX145" s="145"/>
      <c r="IY145" s="145"/>
      <c r="IZ145" s="148"/>
      <c r="JA145" s="145"/>
      <c r="JB145" s="145"/>
      <c r="JC145" s="145"/>
      <c r="JD145" s="145"/>
      <c r="JE145" s="145"/>
      <c r="JF145" s="146"/>
      <c r="JG145" s="145"/>
      <c r="JH145" s="145"/>
      <c r="JI145" s="148"/>
      <c r="JJ145" s="145"/>
      <c r="JK145" s="145"/>
      <c r="JL145" s="145"/>
      <c r="JM145" s="145"/>
      <c r="JN145" s="146"/>
      <c r="JO145" s="145"/>
      <c r="JP145" s="145"/>
      <c r="JQ145" s="145"/>
      <c r="JR145" s="148"/>
      <c r="JS145" s="145"/>
      <c r="JT145" s="145"/>
      <c r="JU145" s="145"/>
      <c r="JV145" s="145"/>
      <c r="JW145" s="146"/>
      <c r="JX145" s="145"/>
      <c r="JY145" s="145"/>
      <c r="JZ145" s="148"/>
      <c r="KA145" s="145"/>
      <c r="KB145" s="145"/>
      <c r="KC145" s="145"/>
      <c r="KD145" s="149"/>
      <c r="KE145" s="146"/>
      <c r="KF145" s="145"/>
      <c r="KG145" s="145"/>
      <c r="KH145" s="148"/>
    </row>
    <row r="146" spans="2:294" ht="19.2" thickTop="1">
      <c r="B146" s="127"/>
      <c r="C146" s="244"/>
      <c r="D146" s="129"/>
      <c r="E146" s="130"/>
      <c r="F146" s="131"/>
      <c r="G146" s="131"/>
      <c r="H146" s="131"/>
      <c r="I146" s="132"/>
      <c r="J146" s="133"/>
      <c r="K146" s="131"/>
      <c r="L146" s="131"/>
      <c r="M146" s="132"/>
      <c r="N146" s="134"/>
      <c r="O146" s="131"/>
      <c r="P146" s="131"/>
      <c r="Q146" s="132"/>
      <c r="R146" s="134"/>
      <c r="S146" s="131"/>
      <c r="T146" s="131"/>
      <c r="U146" s="132"/>
      <c r="V146" s="130"/>
      <c r="W146" s="131"/>
      <c r="X146" s="131"/>
      <c r="Y146" s="131"/>
      <c r="Z146" s="132"/>
      <c r="AA146" s="134"/>
      <c r="AB146" s="131"/>
      <c r="AC146" s="131"/>
      <c r="AD146" s="132"/>
      <c r="AE146" s="134"/>
      <c r="AF146" s="131"/>
      <c r="AG146" s="131"/>
      <c r="AH146" s="132"/>
      <c r="AI146" s="134"/>
      <c r="AJ146" s="131"/>
      <c r="AK146" s="135"/>
      <c r="AL146" s="131"/>
      <c r="AM146" s="132"/>
      <c r="AN146" s="134"/>
      <c r="AO146" s="131"/>
      <c r="AP146" s="131"/>
      <c r="AQ146" s="132"/>
      <c r="AR146" s="134"/>
      <c r="AS146" s="131"/>
      <c r="AT146" s="131"/>
      <c r="AU146" s="131"/>
      <c r="AV146" s="132"/>
      <c r="AW146" s="134"/>
      <c r="AX146" s="131"/>
      <c r="AY146" s="131"/>
      <c r="AZ146" s="132"/>
      <c r="BA146" s="134"/>
      <c r="BB146" s="131"/>
      <c r="BC146" s="131"/>
      <c r="BD146" s="132"/>
      <c r="BE146" s="134"/>
      <c r="BF146" s="136"/>
      <c r="BG146" s="136"/>
      <c r="BH146" s="131"/>
      <c r="BI146" s="132"/>
      <c r="BJ146" s="133"/>
      <c r="BK146" s="135"/>
      <c r="BL146" s="131"/>
      <c r="BM146" s="136"/>
      <c r="BN146" s="134"/>
      <c r="BO146" s="131"/>
      <c r="BP146" s="131"/>
      <c r="BQ146" s="132"/>
      <c r="BR146" s="133"/>
      <c r="BS146" s="131"/>
      <c r="BT146" s="131"/>
      <c r="BU146" s="131"/>
      <c r="BV146" s="136"/>
      <c r="BW146" s="134"/>
      <c r="BX146" s="131"/>
      <c r="BY146" s="131"/>
      <c r="BZ146" s="132"/>
      <c r="CA146" s="133"/>
      <c r="CB146" s="131"/>
      <c r="CC146" s="131"/>
      <c r="CD146" s="132"/>
      <c r="CE146" s="137"/>
      <c r="CF146" s="133"/>
      <c r="CG146" s="138"/>
      <c r="CH146" s="138"/>
      <c r="CI146" s="139"/>
      <c r="CJ146" s="134"/>
      <c r="CK146" s="138"/>
      <c r="CL146" s="138"/>
      <c r="CM146" s="140"/>
      <c r="CR146" s="124"/>
      <c r="CV146" s="125"/>
      <c r="CW146" s="124"/>
      <c r="CZ146" s="126"/>
      <c r="DA146" s="124"/>
      <c r="DE146" s="124"/>
      <c r="DJ146" s="124"/>
      <c r="DK146" s="125"/>
      <c r="DL146" s="151"/>
      <c r="DM146" s="154"/>
      <c r="DN146" s="150"/>
      <c r="DO146" s="151"/>
      <c r="DP146" s="151"/>
      <c r="DQ146" s="151"/>
      <c r="DR146" s="151"/>
      <c r="DS146" s="150"/>
      <c r="DT146" s="151"/>
      <c r="DU146" s="151"/>
      <c r="DV146" s="151"/>
      <c r="DW146" s="151"/>
      <c r="DX146" s="151"/>
      <c r="DY146" s="151"/>
      <c r="DZ146" s="151"/>
      <c r="EA146" s="150"/>
      <c r="EB146" s="151"/>
      <c r="EC146" s="151"/>
      <c r="ED146" s="151"/>
      <c r="EE146" s="152"/>
      <c r="EF146" s="150"/>
      <c r="EG146" s="151"/>
      <c r="EH146" s="151"/>
      <c r="EI146" s="151"/>
      <c r="EJ146" s="150"/>
      <c r="EK146" s="151"/>
      <c r="EL146" s="151"/>
      <c r="EM146" s="151"/>
      <c r="EN146" s="150"/>
      <c r="EO146" s="151"/>
      <c r="EP146" s="151"/>
      <c r="EQ146" s="151"/>
      <c r="ER146" s="154"/>
      <c r="ES146" s="151"/>
      <c r="ET146" s="151"/>
      <c r="EU146" s="151"/>
      <c r="EV146" s="152"/>
      <c r="EW146" s="150"/>
      <c r="EX146" s="151"/>
      <c r="EY146" s="151"/>
      <c r="EZ146" s="154"/>
      <c r="FA146" s="151"/>
      <c r="FB146" s="151"/>
      <c r="FC146" s="151"/>
      <c r="FD146" s="151"/>
      <c r="FE146" s="151"/>
      <c r="FF146" s="150"/>
      <c r="FG146" s="151"/>
      <c r="FH146" s="151"/>
      <c r="FI146" s="154"/>
      <c r="FJ146" s="151"/>
      <c r="FK146" s="152"/>
      <c r="FL146" s="151"/>
      <c r="FM146" s="151"/>
      <c r="FN146" s="150"/>
      <c r="FO146" s="151"/>
      <c r="FP146" s="151"/>
      <c r="FQ146" s="151"/>
      <c r="FR146" s="154"/>
      <c r="FS146" s="151"/>
      <c r="FT146" s="151"/>
      <c r="FU146" s="151"/>
      <c r="FV146" s="151"/>
      <c r="FW146" s="150"/>
      <c r="FX146" s="151"/>
      <c r="FY146" s="151"/>
      <c r="FZ146" s="154"/>
      <c r="GA146" s="150"/>
      <c r="GB146" s="151"/>
      <c r="GC146" s="151"/>
      <c r="GD146" s="151"/>
      <c r="GE146" s="156"/>
      <c r="GF146" s="151"/>
      <c r="GG146" s="151"/>
      <c r="GH146" s="151"/>
      <c r="GI146" s="151"/>
      <c r="GJ146" s="150"/>
      <c r="GK146" s="151"/>
      <c r="GL146" s="151"/>
      <c r="GM146" s="154"/>
      <c r="GN146" s="151"/>
      <c r="GO146" s="151"/>
      <c r="GP146" s="151"/>
      <c r="GQ146" s="151"/>
      <c r="GR146" s="151"/>
      <c r="GS146" s="150"/>
      <c r="GT146" s="151"/>
      <c r="GU146" s="151"/>
      <c r="GV146" s="154"/>
      <c r="GW146" s="151"/>
      <c r="GX146" s="151"/>
      <c r="GY146" s="151"/>
      <c r="GZ146" s="151"/>
      <c r="HA146" s="150"/>
      <c r="HB146" s="151"/>
      <c r="HC146" s="151"/>
      <c r="HD146" s="151"/>
      <c r="HE146" s="154"/>
      <c r="HF146" s="151"/>
      <c r="HG146" s="151"/>
      <c r="HH146" s="151"/>
      <c r="HI146" s="151"/>
      <c r="HJ146" s="150"/>
      <c r="HK146" s="151"/>
      <c r="HL146" s="151"/>
      <c r="HM146" s="154"/>
      <c r="HN146" s="151"/>
      <c r="HO146" s="151"/>
      <c r="HP146" s="151"/>
      <c r="HQ146" s="151"/>
      <c r="HR146" s="151"/>
      <c r="HS146" s="150"/>
      <c r="HT146" s="151"/>
      <c r="HU146" s="151"/>
      <c r="HV146" s="154"/>
      <c r="HW146" s="151"/>
      <c r="HX146" s="151"/>
      <c r="HY146" s="151"/>
      <c r="HZ146" s="151"/>
      <c r="IA146" s="150"/>
      <c r="IB146" s="151"/>
      <c r="IC146" s="151"/>
      <c r="ID146" s="151"/>
      <c r="IE146" s="152"/>
      <c r="IF146" s="124"/>
      <c r="II146" s="126"/>
      <c r="IN146" s="124"/>
      <c r="IR146" s="126"/>
      <c r="IW146" s="124"/>
      <c r="IZ146" s="126"/>
      <c r="JF146" s="124"/>
      <c r="JI146" s="126"/>
      <c r="JN146" s="124"/>
      <c r="JR146" s="126"/>
      <c r="JW146" s="150"/>
      <c r="JX146" s="151"/>
      <c r="JY146" s="151"/>
      <c r="JZ146" s="154"/>
      <c r="KA146" s="151"/>
      <c r="KB146" s="151"/>
      <c r="KC146" s="151"/>
      <c r="KD146" s="156"/>
      <c r="KE146" s="150"/>
      <c r="KF146" s="151"/>
      <c r="KG146" s="151"/>
      <c r="KH146" s="154"/>
    </row>
    <row r="147" spans="2:294" ht="18.600000000000001">
      <c r="B147" s="127"/>
      <c r="C147" s="244"/>
      <c r="D147" s="129"/>
      <c r="E147" s="130"/>
      <c r="F147" s="131"/>
      <c r="G147" s="131"/>
      <c r="H147" s="131"/>
      <c r="I147" s="132"/>
      <c r="J147" s="133"/>
      <c r="K147" s="131"/>
      <c r="L147" s="131"/>
      <c r="M147" s="132"/>
      <c r="N147" s="134"/>
      <c r="O147" s="131"/>
      <c r="P147" s="131"/>
      <c r="Q147" s="132"/>
      <c r="R147" s="134"/>
      <c r="S147" s="131"/>
      <c r="T147" s="131"/>
      <c r="U147" s="132"/>
      <c r="V147" s="130"/>
      <c r="W147" s="131"/>
      <c r="X147" s="131"/>
      <c r="Y147" s="131"/>
      <c r="Z147" s="132"/>
      <c r="AA147" s="134"/>
      <c r="AB147" s="131"/>
      <c r="AC147" s="131"/>
      <c r="AD147" s="132"/>
      <c r="AE147" s="134"/>
      <c r="AF147" s="131"/>
      <c r="AG147" s="131"/>
      <c r="AH147" s="132"/>
      <c r="AI147" s="134"/>
      <c r="AJ147" s="131"/>
      <c r="AK147" s="135"/>
      <c r="AL147" s="131"/>
      <c r="AM147" s="132"/>
      <c r="AN147" s="134"/>
      <c r="AO147" s="131"/>
      <c r="AP147" s="131"/>
      <c r="AQ147" s="132"/>
      <c r="AR147" s="134"/>
      <c r="AS147" s="131"/>
      <c r="AT147" s="131"/>
      <c r="AU147" s="131"/>
      <c r="AV147" s="132"/>
      <c r="AW147" s="134"/>
      <c r="AX147" s="131"/>
      <c r="AY147" s="131"/>
      <c r="AZ147" s="132"/>
      <c r="BA147" s="134"/>
      <c r="BB147" s="131"/>
      <c r="BC147" s="131"/>
      <c r="BD147" s="132"/>
      <c r="BE147" s="134"/>
      <c r="BF147" s="136"/>
      <c r="BG147" s="136"/>
      <c r="BH147" s="131"/>
      <c r="BI147" s="132"/>
      <c r="BJ147" s="133"/>
      <c r="BK147" s="135"/>
      <c r="BL147" s="131"/>
      <c r="BM147" s="136"/>
      <c r="BN147" s="134"/>
      <c r="BO147" s="131"/>
      <c r="BP147" s="131"/>
      <c r="BQ147" s="132"/>
      <c r="BR147" s="133"/>
      <c r="BS147" s="131"/>
      <c r="BT147" s="131"/>
      <c r="BU147" s="131"/>
      <c r="BV147" s="136"/>
      <c r="BW147" s="134"/>
      <c r="BX147" s="131"/>
      <c r="BY147" s="131"/>
      <c r="BZ147" s="132"/>
      <c r="CA147" s="133"/>
      <c r="CB147" s="131"/>
      <c r="CC147" s="131"/>
      <c r="CD147" s="132"/>
      <c r="CE147" s="137"/>
      <c r="CF147" s="133"/>
      <c r="CG147" s="138"/>
      <c r="CH147" s="138"/>
      <c r="CI147" s="139"/>
      <c r="CJ147" s="134"/>
      <c r="CK147" s="138"/>
      <c r="CL147" s="138"/>
      <c r="CM147" s="140"/>
      <c r="CR147" s="124"/>
      <c r="CV147" s="125"/>
      <c r="CW147" s="124"/>
      <c r="CZ147" s="126"/>
      <c r="DA147" s="124"/>
      <c r="DE147" s="124"/>
      <c r="DJ147" s="124"/>
      <c r="DK147" s="125"/>
      <c r="DM147" s="126"/>
      <c r="DN147" s="124"/>
      <c r="DS147" s="124"/>
      <c r="EA147" s="124"/>
      <c r="EE147" s="125"/>
      <c r="EF147" s="124"/>
      <c r="EJ147" s="124"/>
      <c r="EN147" s="124"/>
      <c r="ER147" s="126"/>
      <c r="EV147" s="125"/>
      <c r="EW147" s="124"/>
      <c r="EZ147" s="126"/>
      <c r="FF147" s="124"/>
      <c r="FI147" s="126"/>
      <c r="FK147" s="125"/>
      <c r="FN147" s="124"/>
      <c r="FR147" s="126"/>
      <c r="FW147" s="124"/>
      <c r="FZ147" s="126"/>
      <c r="GA147" s="124"/>
      <c r="GE147" s="141"/>
      <c r="GJ147" s="124"/>
      <c r="GM147" s="126"/>
      <c r="GS147" s="124"/>
      <c r="GV147" s="126"/>
      <c r="HA147" s="124"/>
      <c r="HE147" s="126"/>
      <c r="HJ147" s="124"/>
      <c r="HM147" s="126"/>
      <c r="HS147" s="124"/>
      <c r="HV147" s="126"/>
      <c r="IA147" s="124"/>
      <c r="IE147" s="125"/>
      <c r="IF147" s="124"/>
      <c r="II147" s="126"/>
      <c r="IN147" s="124"/>
      <c r="IR147" s="126"/>
      <c r="IW147" s="124"/>
      <c r="IZ147" s="126"/>
      <c r="JF147" s="124"/>
      <c r="JI147" s="126"/>
      <c r="JN147" s="124"/>
      <c r="JR147" s="126"/>
      <c r="JW147" s="124"/>
      <c r="JZ147" s="126"/>
      <c r="KD147" s="141"/>
      <c r="KE147" s="124"/>
      <c r="KH147" s="126"/>
    </row>
    <row r="148" spans="2:294" ht="18.600000000000001">
      <c r="B148" s="127"/>
      <c r="C148" s="323" t="s">
        <v>180</v>
      </c>
      <c r="D148" s="129" t="s">
        <v>186</v>
      </c>
      <c r="E148" s="130"/>
      <c r="F148" s="131"/>
      <c r="G148" s="131"/>
      <c r="H148" s="131"/>
      <c r="I148" s="132"/>
      <c r="J148" s="133"/>
      <c r="K148" s="131"/>
      <c r="L148" s="131"/>
      <c r="M148" s="132"/>
      <c r="N148" s="134"/>
      <c r="O148" s="131"/>
      <c r="P148" s="131"/>
      <c r="Q148" s="132"/>
      <c r="R148" s="134"/>
      <c r="S148" s="131"/>
      <c r="T148" s="131"/>
      <c r="U148" s="132"/>
      <c r="V148" s="130"/>
      <c r="W148" s="131"/>
      <c r="X148" s="131"/>
      <c r="Y148" s="131"/>
      <c r="Z148" s="132"/>
      <c r="AA148" s="134"/>
      <c r="AB148" s="131"/>
      <c r="AC148" s="131"/>
      <c r="AD148" s="132"/>
      <c r="AE148" s="134"/>
      <c r="AF148" s="131"/>
      <c r="AG148" s="131"/>
      <c r="AH148" s="132"/>
      <c r="AI148" s="134"/>
      <c r="AJ148" s="131"/>
      <c r="AK148" s="135"/>
      <c r="AL148" s="131"/>
      <c r="AM148" s="132"/>
      <c r="AN148" s="134"/>
      <c r="AO148" s="131"/>
      <c r="AP148" s="131"/>
      <c r="AQ148" s="132"/>
      <c r="AR148" s="134"/>
      <c r="AS148" s="131"/>
      <c r="AT148" s="131"/>
      <c r="AU148" s="131"/>
      <c r="AV148" s="132"/>
      <c r="AW148" s="134"/>
      <c r="AX148" s="131"/>
      <c r="AY148" s="131"/>
      <c r="AZ148" s="132"/>
      <c r="BA148" s="134"/>
      <c r="BB148" s="131"/>
      <c r="BC148" s="131"/>
      <c r="BD148" s="132"/>
      <c r="BE148" s="134"/>
      <c r="BF148" s="136"/>
      <c r="BG148" s="136"/>
      <c r="BH148" s="131"/>
      <c r="BI148" s="132"/>
      <c r="BJ148" s="133"/>
      <c r="BK148" s="135"/>
      <c r="BL148" s="131"/>
      <c r="BM148" s="136"/>
      <c r="BN148" s="134"/>
      <c r="BO148" s="131"/>
      <c r="BP148" s="131"/>
      <c r="BQ148" s="132"/>
      <c r="BR148" s="133"/>
      <c r="BS148" s="131"/>
      <c r="BT148" s="131"/>
      <c r="BU148" s="131"/>
      <c r="BV148" s="136"/>
      <c r="BW148" s="134"/>
      <c r="BX148" s="131"/>
      <c r="BY148" s="131"/>
      <c r="BZ148" s="132"/>
      <c r="CA148" s="133"/>
      <c r="CB148" s="131"/>
      <c r="CC148" s="131"/>
      <c r="CD148" s="132"/>
      <c r="CE148" s="137"/>
      <c r="CF148" s="133"/>
      <c r="CG148" s="138"/>
      <c r="CH148" s="138"/>
      <c r="CI148" s="139"/>
      <c r="CJ148" s="134"/>
      <c r="CK148" s="138"/>
      <c r="CL148" s="138"/>
      <c r="CM148" s="140"/>
      <c r="CR148" s="124"/>
      <c r="CV148" s="125"/>
      <c r="CW148" s="124"/>
      <c r="CZ148" s="126"/>
      <c r="DA148" s="124"/>
      <c r="DE148" s="124"/>
      <c r="DJ148" s="124"/>
      <c r="DK148" s="125"/>
      <c r="DM148" s="126"/>
      <c r="DN148" s="124"/>
      <c r="DS148" s="124"/>
      <c r="EA148" s="124"/>
      <c r="EE148" s="125"/>
      <c r="EF148" s="124"/>
      <c r="EJ148" s="124"/>
      <c r="EN148" s="124"/>
      <c r="ER148" s="126"/>
      <c r="EV148" s="125"/>
      <c r="EW148" s="124"/>
      <c r="EZ148" s="126"/>
      <c r="FF148" s="124"/>
      <c r="FI148" s="126"/>
      <c r="FK148" s="125"/>
      <c r="FN148" s="124"/>
      <c r="FR148" s="126"/>
      <c r="FW148" s="124"/>
      <c r="FZ148" s="126"/>
      <c r="GA148" s="124"/>
      <c r="GE148" s="141"/>
      <c r="GJ148" s="124"/>
      <c r="GM148" s="126"/>
      <c r="GS148" s="124"/>
      <c r="GV148" s="126"/>
      <c r="HA148" s="124"/>
      <c r="HE148" s="126"/>
      <c r="HJ148" s="124"/>
      <c r="HM148" s="126"/>
      <c r="HS148" s="124"/>
      <c r="HV148" s="126"/>
      <c r="IA148" s="124"/>
      <c r="IE148" s="125"/>
      <c r="IF148" s="124"/>
      <c r="II148" s="126"/>
      <c r="IN148" s="124"/>
      <c r="IR148" s="126"/>
      <c r="IW148" s="124"/>
      <c r="IZ148" s="126"/>
      <c r="JF148" s="124"/>
      <c r="JI148" s="126"/>
      <c r="JN148" s="124"/>
      <c r="JR148" s="126"/>
      <c r="JW148" s="124"/>
      <c r="JZ148" s="126"/>
      <c r="KD148" s="141"/>
      <c r="KE148" s="124"/>
      <c r="KH148" s="126"/>
    </row>
    <row r="149" spans="2:294" ht="18.600000000000001">
      <c r="B149" s="127"/>
      <c r="C149" s="244" t="s">
        <v>396</v>
      </c>
      <c r="D149" s="129" t="s">
        <v>192</v>
      </c>
      <c r="E149" s="130"/>
      <c r="F149" s="131"/>
      <c r="G149" s="131"/>
      <c r="H149" s="131"/>
      <c r="I149" s="132"/>
      <c r="J149" s="133"/>
      <c r="K149" s="131"/>
      <c r="L149" s="131"/>
      <c r="M149" s="132"/>
      <c r="N149" s="134"/>
      <c r="O149" s="131"/>
      <c r="P149" s="131"/>
      <c r="Q149" s="132"/>
      <c r="R149" s="134"/>
      <c r="S149" s="131"/>
      <c r="T149" s="131"/>
      <c r="U149" s="132"/>
      <c r="V149" s="130"/>
      <c r="W149" s="131"/>
      <c r="X149" s="131"/>
      <c r="Y149" s="131"/>
      <c r="Z149" s="132"/>
      <c r="AA149" s="134"/>
      <c r="AB149" s="131"/>
      <c r="AC149" s="131"/>
      <c r="AD149" s="132"/>
      <c r="AE149" s="134"/>
      <c r="AF149" s="131"/>
      <c r="AG149" s="131"/>
      <c r="AH149" s="132"/>
      <c r="AI149" s="134"/>
      <c r="AJ149" s="131"/>
      <c r="AK149" s="135"/>
      <c r="AL149" s="131"/>
      <c r="AM149" s="132"/>
      <c r="AN149" s="134"/>
      <c r="AO149" s="131"/>
      <c r="AP149" s="131"/>
      <c r="AQ149" s="132"/>
      <c r="AR149" s="134"/>
      <c r="AS149" s="131"/>
      <c r="AT149" s="131"/>
      <c r="AU149" s="131"/>
      <c r="AV149" s="132"/>
      <c r="AW149" s="134"/>
      <c r="AX149" s="131"/>
      <c r="AY149" s="131"/>
      <c r="AZ149" s="132"/>
      <c r="BA149" s="134"/>
      <c r="BB149" s="131"/>
      <c r="BC149" s="131"/>
      <c r="BD149" s="132"/>
      <c r="BE149" s="134"/>
      <c r="BF149" s="136"/>
      <c r="BG149" s="136"/>
      <c r="BH149" s="131"/>
      <c r="BI149" s="132"/>
      <c r="BJ149" s="133"/>
      <c r="BK149" s="135"/>
      <c r="BL149" s="131"/>
      <c r="BM149" s="136"/>
      <c r="BN149" s="134"/>
      <c r="BO149" s="131"/>
      <c r="BP149" s="131"/>
      <c r="BQ149" s="132"/>
      <c r="BR149" s="133"/>
      <c r="BS149" s="131"/>
      <c r="BT149" s="131"/>
      <c r="BU149" s="131"/>
      <c r="BV149" s="136"/>
      <c r="BW149" s="134"/>
      <c r="BX149" s="131"/>
      <c r="BY149" s="131"/>
      <c r="BZ149" s="132"/>
      <c r="CA149" s="133"/>
      <c r="CB149" s="131"/>
      <c r="CC149" s="131"/>
      <c r="CD149" s="132"/>
      <c r="CE149" s="137"/>
      <c r="CF149" s="133"/>
      <c r="CG149" s="138"/>
      <c r="CH149" s="138"/>
      <c r="CI149" s="139"/>
      <c r="CJ149" s="134"/>
      <c r="CK149" s="138"/>
      <c r="CL149" s="138"/>
      <c r="CM149" s="140"/>
      <c r="CR149" s="124"/>
      <c r="CV149" s="125"/>
      <c r="CW149" s="124"/>
      <c r="CZ149" s="126"/>
      <c r="DA149" s="124"/>
      <c r="DE149" s="124"/>
      <c r="DJ149" s="124"/>
      <c r="DK149" s="125"/>
      <c r="DM149" s="126"/>
      <c r="DN149" s="124"/>
      <c r="DS149" s="124"/>
      <c r="EA149" s="124"/>
      <c r="EE149" s="125"/>
      <c r="EF149" s="124"/>
      <c r="EJ149" s="124"/>
      <c r="EN149" s="124"/>
      <c r="ER149" s="126"/>
      <c r="EV149" s="125"/>
      <c r="EW149" s="124"/>
      <c r="EZ149" s="126"/>
      <c r="FF149" s="124"/>
      <c r="FI149" s="126"/>
      <c r="FK149" s="125"/>
      <c r="FN149" s="124"/>
      <c r="FR149" s="126"/>
      <c r="FW149" s="124"/>
      <c r="FZ149" s="126"/>
      <c r="GA149" s="124"/>
      <c r="GE149" s="141"/>
      <c r="GJ149" s="124"/>
      <c r="GM149" s="126"/>
      <c r="GS149" s="124"/>
      <c r="GV149" s="126"/>
      <c r="HA149" s="124"/>
      <c r="HE149" s="126"/>
      <c r="HJ149" s="124"/>
      <c r="HM149" s="126"/>
      <c r="HS149" s="124"/>
      <c r="HV149" s="126"/>
      <c r="IA149" s="124"/>
      <c r="IE149" s="125"/>
      <c r="IF149" s="124"/>
      <c r="II149" s="126"/>
      <c r="IN149" s="124"/>
      <c r="IR149" s="126"/>
      <c r="IW149" s="124"/>
      <c r="IZ149" s="126"/>
      <c r="JF149" s="124"/>
      <c r="JI149" s="126"/>
      <c r="JN149" s="124"/>
      <c r="JR149" s="126"/>
      <c r="JW149" s="124"/>
      <c r="JZ149" s="126"/>
      <c r="KD149" s="141"/>
      <c r="KE149" s="124"/>
      <c r="KH149" s="126"/>
    </row>
    <row r="150" spans="2:294" ht="18.600000000000001">
      <c r="B150" s="127"/>
      <c r="C150" s="244" t="s">
        <v>397</v>
      </c>
      <c r="D150" s="129"/>
      <c r="E150" s="130"/>
      <c r="F150" s="131"/>
      <c r="G150" s="131"/>
      <c r="H150" s="131"/>
      <c r="I150" s="132"/>
      <c r="J150" s="133"/>
      <c r="K150" s="131"/>
      <c r="L150" s="131"/>
      <c r="M150" s="132"/>
      <c r="N150" s="134"/>
      <c r="O150" s="131"/>
      <c r="P150" s="131"/>
      <c r="Q150" s="132"/>
      <c r="R150" s="134"/>
      <c r="S150" s="131"/>
      <c r="T150" s="131"/>
      <c r="U150" s="132"/>
      <c r="V150" s="130"/>
      <c r="W150" s="131"/>
      <c r="X150" s="131"/>
      <c r="Y150" s="131"/>
      <c r="Z150" s="132"/>
      <c r="AA150" s="134"/>
      <c r="AB150" s="131"/>
      <c r="AC150" s="131"/>
      <c r="AD150" s="132"/>
      <c r="AE150" s="134"/>
      <c r="AF150" s="131"/>
      <c r="AG150" s="131"/>
      <c r="AH150" s="132"/>
      <c r="AI150" s="134"/>
      <c r="AJ150" s="131"/>
      <c r="AK150" s="135"/>
      <c r="AL150" s="131"/>
      <c r="AM150" s="132"/>
      <c r="AN150" s="134"/>
      <c r="AO150" s="131"/>
      <c r="AP150" s="131"/>
      <c r="AQ150" s="132"/>
      <c r="AR150" s="134"/>
      <c r="AS150" s="131"/>
      <c r="AT150" s="131"/>
      <c r="AU150" s="131"/>
      <c r="AV150" s="132"/>
      <c r="AW150" s="134"/>
      <c r="AX150" s="131"/>
      <c r="AY150" s="131"/>
      <c r="AZ150" s="132"/>
      <c r="BA150" s="134"/>
      <c r="BB150" s="131"/>
      <c r="BC150" s="131"/>
      <c r="BD150" s="132"/>
      <c r="BE150" s="134"/>
      <c r="BF150" s="136"/>
      <c r="BG150" s="136"/>
      <c r="BH150" s="131"/>
      <c r="BI150" s="132"/>
      <c r="BJ150" s="133"/>
      <c r="BK150" s="135"/>
      <c r="BL150" s="131"/>
      <c r="BM150" s="136"/>
      <c r="BN150" s="134"/>
      <c r="BO150" s="131"/>
      <c r="BP150" s="131"/>
      <c r="BQ150" s="132"/>
      <c r="BR150" s="133"/>
      <c r="BS150" s="131"/>
      <c r="BT150" s="131"/>
      <c r="BU150" s="131"/>
      <c r="BV150" s="136"/>
      <c r="BW150" s="134"/>
      <c r="BX150" s="131"/>
      <c r="BY150" s="131"/>
      <c r="BZ150" s="132"/>
      <c r="CA150" s="133"/>
      <c r="CB150" s="131"/>
      <c r="CC150" s="131"/>
      <c r="CD150" s="132"/>
      <c r="CE150" s="137"/>
      <c r="CF150" s="133"/>
      <c r="CG150" s="138"/>
      <c r="CH150" s="138"/>
      <c r="CI150" s="139"/>
      <c r="CJ150" s="134"/>
      <c r="CK150" s="138"/>
      <c r="CL150" s="138"/>
      <c r="CM150" s="140"/>
      <c r="CR150" s="124"/>
      <c r="CV150" s="125"/>
      <c r="CW150" s="124"/>
      <c r="CZ150" s="126"/>
      <c r="DA150" s="124"/>
      <c r="DE150" s="124"/>
      <c r="DJ150" s="124"/>
      <c r="DK150" s="125"/>
      <c r="DM150" s="126"/>
      <c r="DN150" s="124"/>
      <c r="DS150" s="124"/>
      <c r="EA150" s="124"/>
      <c r="EE150" s="125"/>
      <c r="EF150" s="124"/>
      <c r="EJ150" s="124"/>
      <c r="EN150" s="124"/>
      <c r="ER150" s="126"/>
      <c r="EV150" s="125"/>
      <c r="EW150" s="124"/>
      <c r="EZ150" s="126"/>
      <c r="FF150" s="124"/>
      <c r="FI150" s="126"/>
      <c r="FK150" s="125"/>
      <c r="FN150" s="124"/>
      <c r="FR150" s="126"/>
      <c r="FW150" s="124"/>
      <c r="FZ150" s="126"/>
      <c r="GA150" s="124"/>
      <c r="GE150" s="141"/>
      <c r="GJ150" s="124"/>
      <c r="GM150" s="126"/>
      <c r="GS150" s="124"/>
      <c r="GV150" s="126"/>
      <c r="HA150" s="124"/>
      <c r="HE150" s="126"/>
      <c r="HJ150" s="124"/>
      <c r="HM150" s="126"/>
      <c r="HS150" s="124"/>
      <c r="HV150" s="126"/>
      <c r="IA150" s="124"/>
      <c r="IE150" s="125"/>
      <c r="IF150" s="124"/>
      <c r="II150" s="126"/>
      <c r="IN150" s="124"/>
      <c r="IR150" s="126"/>
      <c r="IW150" s="124"/>
      <c r="IZ150" s="126"/>
      <c r="JF150" s="124"/>
      <c r="JI150" s="126"/>
      <c r="JN150" s="124"/>
      <c r="JR150" s="126"/>
      <c r="JW150" s="124"/>
      <c r="JZ150" s="126"/>
      <c r="KD150" s="141"/>
      <c r="KE150" s="124"/>
      <c r="KH150" s="126"/>
    </row>
    <row r="151" spans="2:294" ht="18.600000000000001">
      <c r="B151" s="127"/>
      <c r="C151" s="324" t="s">
        <v>398</v>
      </c>
      <c r="D151" s="129"/>
      <c r="E151" s="130"/>
      <c r="F151" s="131"/>
      <c r="G151" s="131"/>
      <c r="H151" s="131"/>
      <c r="I151" s="132"/>
      <c r="J151" s="133"/>
      <c r="K151" s="131"/>
      <c r="L151" s="131"/>
      <c r="M151" s="132"/>
      <c r="N151" s="134"/>
      <c r="O151" s="131"/>
      <c r="P151" s="131"/>
      <c r="Q151" s="132"/>
      <c r="R151" s="134"/>
      <c r="S151" s="131"/>
      <c r="T151" s="131"/>
      <c r="U151" s="132"/>
      <c r="V151" s="130"/>
      <c r="W151" s="131"/>
      <c r="X151" s="131"/>
      <c r="Y151" s="131"/>
      <c r="Z151" s="132"/>
      <c r="AA151" s="134"/>
      <c r="AB151" s="131"/>
      <c r="AC151" s="131"/>
      <c r="AD151" s="132"/>
      <c r="AE151" s="134"/>
      <c r="AF151" s="131"/>
      <c r="AG151" s="131"/>
      <c r="AH151" s="132"/>
      <c r="AI151" s="134"/>
      <c r="AJ151" s="131"/>
      <c r="AK151" s="135"/>
      <c r="AL151" s="131"/>
      <c r="AM151" s="132"/>
      <c r="AN151" s="134"/>
      <c r="AO151" s="131"/>
      <c r="AP151" s="131"/>
      <c r="AQ151" s="132"/>
      <c r="AR151" s="134"/>
      <c r="AS151" s="131"/>
      <c r="AT151" s="131"/>
      <c r="AU151" s="131"/>
      <c r="AV151" s="132"/>
      <c r="AW151" s="134"/>
      <c r="AX151" s="131"/>
      <c r="AY151" s="131"/>
      <c r="AZ151" s="132"/>
      <c r="BA151" s="134"/>
      <c r="BB151" s="131"/>
      <c r="BC151" s="131"/>
      <c r="BD151" s="132"/>
      <c r="BE151" s="134"/>
      <c r="BF151" s="136"/>
      <c r="BG151" s="136"/>
      <c r="BH151" s="131"/>
      <c r="BI151" s="132"/>
      <c r="BJ151" s="133"/>
      <c r="BK151" s="135"/>
      <c r="BL151" s="131"/>
      <c r="BM151" s="136"/>
      <c r="BN151" s="134"/>
      <c r="BO151" s="131"/>
      <c r="BP151" s="131"/>
      <c r="BQ151" s="132"/>
      <c r="BR151" s="133"/>
      <c r="BS151" s="131"/>
      <c r="BT151" s="131"/>
      <c r="BU151" s="131"/>
      <c r="BV151" s="136"/>
      <c r="BW151" s="134"/>
      <c r="BX151" s="131"/>
      <c r="BY151" s="131"/>
      <c r="BZ151" s="132"/>
      <c r="CA151" s="133"/>
      <c r="CB151" s="131"/>
      <c r="CC151" s="131"/>
      <c r="CD151" s="132"/>
      <c r="CE151" s="137"/>
      <c r="CF151" s="133"/>
      <c r="CG151" s="138"/>
      <c r="CH151" s="138"/>
      <c r="CI151" s="139"/>
      <c r="CJ151" s="134"/>
      <c r="CK151" s="138"/>
      <c r="CL151" s="138"/>
      <c r="CM151" s="140"/>
      <c r="CR151" s="124"/>
      <c r="CV151" s="125"/>
      <c r="CW151" s="124"/>
      <c r="CZ151" s="126"/>
      <c r="DA151" s="124"/>
      <c r="DE151" s="124"/>
      <c r="DJ151" s="124"/>
      <c r="DK151" s="125"/>
      <c r="DM151" s="126"/>
      <c r="DN151" s="124"/>
      <c r="DS151" s="124"/>
      <c r="EA151" s="124"/>
      <c r="EE151" s="125"/>
      <c r="EF151" s="124"/>
      <c r="EJ151" s="124"/>
      <c r="EN151" s="124"/>
      <c r="ER151" s="126"/>
      <c r="EV151" s="125"/>
      <c r="EW151" s="124"/>
      <c r="EZ151" s="126"/>
      <c r="FF151" s="124"/>
      <c r="FI151" s="126"/>
      <c r="FK151" s="125"/>
      <c r="FN151" s="124"/>
      <c r="FR151" s="126"/>
      <c r="FW151" s="124"/>
      <c r="FZ151" s="126"/>
      <c r="GA151" s="124"/>
      <c r="GE151" s="141"/>
      <c r="GH151" s="79" t="s">
        <v>399</v>
      </c>
      <c r="GJ151" s="124"/>
      <c r="GM151" s="126"/>
      <c r="GS151" s="124"/>
      <c r="GV151" s="126"/>
      <c r="HA151" s="124"/>
      <c r="HE151" s="126"/>
      <c r="HJ151" s="124"/>
      <c r="HM151" s="126"/>
      <c r="HS151" s="124"/>
      <c r="HV151" s="126"/>
      <c r="IA151" s="124"/>
      <c r="IE151" s="125"/>
      <c r="IF151" s="124"/>
      <c r="II151" s="126"/>
      <c r="IN151" s="124"/>
      <c r="IR151" s="126"/>
      <c r="IW151" s="124"/>
      <c r="IZ151" s="126"/>
      <c r="JF151" s="124"/>
      <c r="JI151" s="126"/>
      <c r="JN151" s="124"/>
      <c r="JR151" s="126"/>
      <c r="JW151" s="124"/>
      <c r="JZ151" s="126"/>
      <c r="KD151" s="141"/>
      <c r="KE151" s="124"/>
      <c r="KH151" s="126"/>
    </row>
    <row r="152" spans="2:294" ht="19.2" thickBot="1">
      <c r="B152" s="127"/>
      <c r="C152" s="252"/>
      <c r="D152" s="158"/>
      <c r="E152" s="159"/>
      <c r="F152" s="160"/>
      <c r="G152" s="160"/>
      <c r="H152" s="160"/>
      <c r="I152" s="161"/>
      <c r="J152" s="162"/>
      <c r="K152" s="160"/>
      <c r="L152" s="160"/>
      <c r="M152" s="161"/>
      <c r="N152" s="163"/>
      <c r="O152" s="160"/>
      <c r="P152" s="160"/>
      <c r="Q152" s="161"/>
      <c r="R152" s="163"/>
      <c r="S152" s="160"/>
      <c r="T152" s="160"/>
      <c r="U152" s="161"/>
      <c r="V152" s="159"/>
      <c r="W152" s="160"/>
      <c r="X152" s="160"/>
      <c r="Y152" s="160"/>
      <c r="Z152" s="161"/>
      <c r="AA152" s="163"/>
      <c r="AB152" s="160"/>
      <c r="AC152" s="160"/>
      <c r="AD152" s="161"/>
      <c r="AE152" s="163"/>
      <c r="AF152" s="160"/>
      <c r="AG152" s="160"/>
      <c r="AH152" s="161"/>
      <c r="AI152" s="163"/>
      <c r="AJ152" s="160"/>
      <c r="AK152" s="164"/>
      <c r="AL152" s="160"/>
      <c r="AM152" s="161"/>
      <c r="AN152" s="163"/>
      <c r="AO152" s="160"/>
      <c r="AP152" s="160"/>
      <c r="AQ152" s="161"/>
      <c r="AR152" s="163"/>
      <c r="AS152" s="160"/>
      <c r="AT152" s="160"/>
      <c r="AU152" s="160"/>
      <c r="AV152" s="161"/>
      <c r="AW152" s="163"/>
      <c r="AX152" s="160"/>
      <c r="AY152" s="160"/>
      <c r="AZ152" s="161"/>
      <c r="BA152" s="163"/>
      <c r="BB152" s="160"/>
      <c r="BC152" s="160"/>
      <c r="BD152" s="161"/>
      <c r="BE152" s="163"/>
      <c r="BF152" s="165"/>
      <c r="BG152" s="165"/>
      <c r="BH152" s="160"/>
      <c r="BI152" s="161"/>
      <c r="BJ152" s="162"/>
      <c r="BK152" s="164"/>
      <c r="BL152" s="160"/>
      <c r="BM152" s="165"/>
      <c r="BN152" s="163"/>
      <c r="BO152" s="160"/>
      <c r="BP152" s="160"/>
      <c r="BQ152" s="161"/>
      <c r="BR152" s="162"/>
      <c r="BS152" s="160"/>
      <c r="BT152" s="160"/>
      <c r="BU152" s="160"/>
      <c r="BV152" s="165"/>
      <c r="BW152" s="163"/>
      <c r="BX152" s="160"/>
      <c r="BY152" s="160"/>
      <c r="BZ152" s="161"/>
      <c r="CA152" s="162"/>
      <c r="CB152" s="160"/>
      <c r="CC152" s="160"/>
      <c r="CD152" s="161"/>
      <c r="CE152" s="166"/>
      <c r="CF152" s="162"/>
      <c r="CG152" s="167"/>
      <c r="CH152" s="167"/>
      <c r="CI152" s="168"/>
      <c r="CJ152" s="163"/>
      <c r="CK152" s="167"/>
      <c r="CL152" s="167"/>
      <c r="CM152" s="169"/>
      <c r="CN152" s="145"/>
      <c r="CO152" s="145"/>
      <c r="CP152" s="145"/>
      <c r="CQ152" s="145"/>
      <c r="CR152" s="146"/>
      <c r="CS152" s="145"/>
      <c r="CT152" s="145"/>
      <c r="CU152" s="145"/>
      <c r="CV152" s="147"/>
      <c r="CW152" s="146"/>
      <c r="CX152" s="145"/>
      <c r="CY152" s="145"/>
      <c r="CZ152" s="148"/>
      <c r="DA152" s="146"/>
      <c r="DB152" s="145"/>
      <c r="DC152" s="145"/>
      <c r="DD152" s="145"/>
      <c r="DE152" s="146"/>
      <c r="DF152" s="145"/>
      <c r="DG152" s="145"/>
      <c r="DH152" s="145"/>
      <c r="DI152" s="145"/>
      <c r="DJ152" s="146"/>
      <c r="DK152" s="147"/>
      <c r="DL152" s="145"/>
      <c r="DM152" s="148"/>
      <c r="DN152" s="146"/>
      <c r="DO152" s="145"/>
      <c r="DP152" s="145"/>
      <c r="DQ152" s="145"/>
      <c r="DR152" s="145"/>
      <c r="DS152" s="146"/>
      <c r="DT152" s="145"/>
      <c r="DU152" s="145"/>
      <c r="DV152" s="145"/>
      <c r="DW152" s="145"/>
      <c r="DX152" s="145"/>
      <c r="DY152" s="145"/>
      <c r="DZ152" s="145"/>
      <c r="EA152" s="146"/>
      <c r="EB152" s="145"/>
      <c r="EC152" s="145"/>
      <c r="ED152" s="145"/>
      <c r="EE152" s="147"/>
      <c r="EF152" s="146"/>
      <c r="EG152" s="145"/>
      <c r="EH152" s="145"/>
      <c r="EI152" s="145"/>
      <c r="EJ152" s="146"/>
      <c r="EK152" s="145"/>
      <c r="EL152" s="145"/>
      <c r="EM152" s="145"/>
      <c r="EN152" s="146"/>
      <c r="EO152" s="145"/>
      <c r="EP152" s="145"/>
      <c r="EQ152" s="145"/>
      <c r="ER152" s="148"/>
      <c r="ES152" s="145"/>
      <c r="ET152" s="145"/>
      <c r="EU152" s="145"/>
      <c r="EV152" s="147"/>
      <c r="EW152" s="146"/>
      <c r="EX152" s="145"/>
      <c r="EY152" s="145"/>
      <c r="EZ152" s="148"/>
      <c r="FA152" s="145"/>
      <c r="FB152" s="145"/>
      <c r="FC152" s="145"/>
      <c r="FD152" s="145"/>
      <c r="FE152" s="145"/>
      <c r="FF152" s="146"/>
      <c r="FG152" s="145"/>
      <c r="FH152" s="145"/>
      <c r="FI152" s="148"/>
      <c r="FJ152" s="145"/>
      <c r="FK152" s="147"/>
      <c r="FL152" s="145"/>
      <c r="FM152" s="145"/>
      <c r="FN152" s="146"/>
      <c r="FO152" s="145"/>
      <c r="FP152" s="145"/>
      <c r="FQ152" s="145"/>
      <c r="FR152" s="148"/>
      <c r="FS152" s="145"/>
      <c r="FT152" s="145"/>
      <c r="FU152" s="145"/>
      <c r="FV152" s="145"/>
      <c r="FW152" s="146"/>
      <c r="FX152" s="145"/>
      <c r="FY152" s="145"/>
      <c r="FZ152" s="148"/>
      <c r="GA152" s="146"/>
      <c r="GB152" s="145"/>
      <c r="GC152" s="145"/>
      <c r="GD152" s="145"/>
      <c r="GE152" s="149"/>
      <c r="GF152" s="145"/>
      <c r="GG152" s="145"/>
      <c r="GH152" s="145" t="s">
        <v>400</v>
      </c>
      <c r="GI152" s="145"/>
      <c r="GJ152" s="146"/>
      <c r="GK152" s="145"/>
      <c r="GL152" s="145"/>
      <c r="GM152" s="148"/>
      <c r="GN152" s="145"/>
      <c r="GO152" s="145"/>
      <c r="GP152" s="145"/>
      <c r="GQ152" s="145"/>
      <c r="GR152" s="145"/>
      <c r="GS152" s="146"/>
      <c r="GT152" s="145"/>
      <c r="GU152" s="145"/>
      <c r="GV152" s="148"/>
      <c r="GW152" s="145"/>
      <c r="GX152" s="145"/>
      <c r="GY152" s="145"/>
      <c r="GZ152" s="145"/>
      <c r="HA152" s="146"/>
      <c r="HB152" s="145"/>
      <c r="HC152" s="145"/>
      <c r="HD152" s="145"/>
      <c r="HE152" s="148"/>
      <c r="HF152" s="145"/>
      <c r="HG152" s="145"/>
      <c r="HH152" s="145"/>
      <c r="HI152" s="145"/>
      <c r="HJ152" s="146"/>
      <c r="HK152" s="145"/>
      <c r="HL152" s="145"/>
      <c r="HM152" s="148"/>
      <c r="HN152" s="145"/>
      <c r="HO152" s="145"/>
      <c r="HP152" s="145"/>
      <c r="HQ152" s="145"/>
      <c r="HR152" s="145"/>
      <c r="HS152" s="146"/>
      <c r="HT152" s="145"/>
      <c r="HU152" s="145"/>
      <c r="HV152" s="148"/>
      <c r="HW152" s="145"/>
      <c r="HX152" s="145"/>
      <c r="HY152" s="145"/>
      <c r="HZ152" s="145"/>
      <c r="IA152" s="146"/>
      <c r="IB152" s="145"/>
      <c r="IC152" s="145"/>
      <c r="ID152" s="145"/>
      <c r="IE152" s="147"/>
      <c r="IF152" s="146"/>
      <c r="IG152" s="145"/>
      <c r="IH152" s="145"/>
      <c r="II152" s="148"/>
      <c r="IJ152" s="145"/>
      <c r="IK152" s="145"/>
      <c r="IL152" s="145"/>
      <c r="IM152" s="145"/>
      <c r="IN152" s="146"/>
      <c r="IO152" s="145"/>
      <c r="IP152" s="145"/>
      <c r="IQ152" s="145"/>
      <c r="IR152" s="148"/>
      <c r="IS152" s="145"/>
      <c r="IT152" s="145"/>
      <c r="IU152" s="145"/>
      <c r="IV152" s="145"/>
      <c r="IW152" s="146"/>
      <c r="IX152" s="145"/>
      <c r="IY152" s="145"/>
      <c r="IZ152" s="148"/>
      <c r="JA152" s="145"/>
      <c r="JB152" s="145"/>
      <c r="JC152" s="145"/>
      <c r="JD152" s="145"/>
      <c r="JE152" s="145"/>
      <c r="JF152" s="146"/>
      <c r="JG152" s="145"/>
      <c r="JH152" s="145"/>
      <c r="JI152" s="148"/>
      <c r="JJ152" s="145"/>
      <c r="JK152" s="145"/>
      <c r="JL152" s="145"/>
      <c r="JM152" s="145"/>
      <c r="JN152" s="146"/>
      <c r="JO152" s="145"/>
      <c r="JP152" s="145"/>
      <c r="JQ152" s="145"/>
      <c r="JR152" s="148"/>
      <c r="JS152" s="145"/>
      <c r="JT152" s="145"/>
      <c r="JU152" s="145"/>
      <c r="JV152" s="145"/>
      <c r="JW152" s="146"/>
      <c r="JX152" s="145"/>
      <c r="JY152" s="145"/>
      <c r="JZ152" s="148"/>
      <c r="KA152" s="145"/>
      <c r="KB152" s="145"/>
      <c r="KC152" s="145"/>
      <c r="KD152" s="149"/>
      <c r="KE152" s="146"/>
      <c r="KF152" s="145"/>
      <c r="KG152" s="145"/>
      <c r="KH152" s="148"/>
    </row>
    <row r="153" spans="2:294" ht="19.2" thickTop="1">
      <c r="B153" s="127"/>
      <c r="C153" s="244"/>
      <c r="D153" s="129"/>
      <c r="E153" s="130"/>
      <c r="F153" s="131"/>
      <c r="G153" s="131"/>
      <c r="H153" s="131"/>
      <c r="I153" s="132"/>
      <c r="J153" s="133"/>
      <c r="K153" s="131"/>
      <c r="L153" s="131"/>
      <c r="M153" s="132"/>
      <c r="N153" s="134"/>
      <c r="O153" s="131"/>
      <c r="P153" s="131"/>
      <c r="Q153" s="132"/>
      <c r="R153" s="134"/>
      <c r="S153" s="131"/>
      <c r="T153" s="131"/>
      <c r="U153" s="132"/>
      <c r="V153" s="130"/>
      <c r="W153" s="131"/>
      <c r="X153" s="131"/>
      <c r="Y153" s="131"/>
      <c r="Z153" s="132"/>
      <c r="AA153" s="134"/>
      <c r="AB153" s="131"/>
      <c r="AC153" s="131"/>
      <c r="AD153" s="132"/>
      <c r="AE153" s="134"/>
      <c r="AF153" s="131"/>
      <c r="AG153" s="131"/>
      <c r="AH153" s="132"/>
      <c r="AI153" s="134"/>
      <c r="AJ153" s="131"/>
      <c r="AK153" s="135"/>
      <c r="AL153" s="131"/>
      <c r="AM153" s="132"/>
      <c r="AN153" s="134"/>
      <c r="AO153" s="131"/>
      <c r="AP153" s="131"/>
      <c r="AQ153" s="132"/>
      <c r="AR153" s="134"/>
      <c r="AS153" s="131"/>
      <c r="AT153" s="131"/>
      <c r="AU153" s="131"/>
      <c r="AV153" s="132"/>
      <c r="AW153" s="134"/>
      <c r="AX153" s="131"/>
      <c r="AY153" s="131"/>
      <c r="AZ153" s="132"/>
      <c r="BA153" s="134"/>
      <c r="BB153" s="131"/>
      <c r="BC153" s="131"/>
      <c r="BD153" s="132"/>
      <c r="BE153" s="134"/>
      <c r="BF153" s="136"/>
      <c r="BG153" s="136"/>
      <c r="BH153" s="131"/>
      <c r="BI153" s="132"/>
      <c r="BJ153" s="133"/>
      <c r="BK153" s="135"/>
      <c r="BL153" s="131"/>
      <c r="BM153" s="136"/>
      <c r="BN153" s="134"/>
      <c r="BO153" s="131"/>
      <c r="BP153" s="131"/>
      <c r="BQ153" s="132"/>
      <c r="BR153" s="133"/>
      <c r="BS153" s="131"/>
      <c r="BT153" s="131"/>
      <c r="BU153" s="131"/>
      <c r="BV153" s="136"/>
      <c r="BW153" s="134"/>
      <c r="BX153" s="131"/>
      <c r="BY153" s="131"/>
      <c r="BZ153" s="132"/>
      <c r="CA153" s="133"/>
      <c r="CB153" s="131"/>
      <c r="CC153" s="131"/>
      <c r="CD153" s="132"/>
      <c r="CE153" s="137"/>
      <c r="CF153" s="133"/>
      <c r="CG153" s="138"/>
      <c r="CH153" s="138"/>
      <c r="CI153" s="139"/>
      <c r="CJ153" s="134"/>
      <c r="CK153" s="138"/>
      <c r="CL153" s="138"/>
      <c r="CM153" s="140"/>
      <c r="CR153" s="124"/>
      <c r="CV153" s="125"/>
      <c r="CW153" s="124"/>
      <c r="CZ153" s="126"/>
      <c r="DA153" s="124"/>
      <c r="DE153" s="124"/>
      <c r="DJ153" s="124"/>
      <c r="DK153" s="125"/>
      <c r="DL153" s="151"/>
      <c r="DM153" s="154"/>
      <c r="DN153" s="150"/>
      <c r="DO153" s="151"/>
      <c r="DP153" s="151"/>
      <c r="DQ153" s="151"/>
      <c r="DR153" s="151"/>
      <c r="DS153" s="150"/>
      <c r="DT153" s="151"/>
      <c r="DU153" s="151"/>
      <c r="DV153" s="151"/>
      <c r="DW153" s="151"/>
      <c r="DX153" s="151"/>
      <c r="DY153" s="151"/>
      <c r="DZ153" s="151"/>
      <c r="EA153" s="150"/>
      <c r="EB153" s="151"/>
      <c r="EC153" s="151"/>
      <c r="ED153" s="151"/>
      <c r="EE153" s="152"/>
      <c r="EF153" s="150"/>
      <c r="EG153" s="151"/>
      <c r="EH153" s="151"/>
      <c r="EI153" s="151"/>
      <c r="EJ153" s="150"/>
      <c r="EK153" s="151"/>
      <c r="EL153" s="151"/>
      <c r="EM153" s="151"/>
      <c r="EN153" s="150"/>
      <c r="EO153" s="151"/>
      <c r="EP153" s="151"/>
      <c r="EQ153" s="151"/>
      <c r="ER153" s="154"/>
      <c r="ES153" s="151"/>
      <c r="ET153" s="151"/>
      <c r="EU153" s="151"/>
      <c r="EV153" s="152"/>
      <c r="EW153" s="150"/>
      <c r="EX153" s="151"/>
      <c r="EY153" s="151"/>
      <c r="EZ153" s="154"/>
      <c r="FA153" s="151"/>
      <c r="FB153" s="151"/>
      <c r="FC153" s="151"/>
      <c r="FD153" s="151"/>
      <c r="FE153" s="151"/>
      <c r="FF153" s="150"/>
      <c r="FG153" s="151"/>
      <c r="FH153" s="151"/>
      <c r="FI153" s="154"/>
      <c r="FJ153" s="151"/>
      <c r="FK153" s="152"/>
      <c r="FL153" s="151"/>
      <c r="FM153" s="151"/>
      <c r="FN153" s="150"/>
      <c r="FO153" s="151"/>
      <c r="FP153" s="151"/>
      <c r="FQ153" s="151"/>
      <c r="FR153" s="154"/>
      <c r="FS153" s="151"/>
      <c r="FT153" s="151"/>
      <c r="FU153" s="151"/>
      <c r="FV153" s="151"/>
      <c r="FW153" s="150"/>
      <c r="FX153" s="151"/>
      <c r="FY153" s="151"/>
      <c r="FZ153" s="154"/>
      <c r="GA153" s="150"/>
      <c r="GB153" s="151"/>
      <c r="GC153" s="151"/>
      <c r="GD153" s="151"/>
      <c r="GE153" s="156"/>
      <c r="GF153" s="151"/>
      <c r="GG153" s="151"/>
      <c r="GH153" s="151"/>
      <c r="GI153" s="151"/>
      <c r="GJ153" s="150"/>
      <c r="GK153" s="151"/>
      <c r="GL153" s="151"/>
      <c r="GM153" s="154"/>
      <c r="GN153" s="151"/>
      <c r="GO153" s="151"/>
      <c r="GP153" s="151"/>
      <c r="GQ153" s="151"/>
      <c r="GR153" s="151"/>
      <c r="GS153" s="150"/>
      <c r="GT153" s="151"/>
      <c r="GU153" s="151"/>
      <c r="GV153" s="154"/>
      <c r="GW153" s="151"/>
      <c r="GX153" s="151"/>
      <c r="GY153" s="151"/>
      <c r="GZ153" s="151"/>
      <c r="HA153" s="150"/>
      <c r="HB153" s="151"/>
      <c r="HC153" s="151"/>
      <c r="HD153" s="151"/>
      <c r="HE153" s="154"/>
      <c r="HF153" s="151"/>
      <c r="HG153" s="151"/>
      <c r="HH153" s="151"/>
      <c r="HI153" s="151"/>
      <c r="HJ153" s="150"/>
      <c r="HK153" s="151"/>
      <c r="HL153" s="151"/>
      <c r="HM153" s="154"/>
      <c r="HN153" s="151"/>
      <c r="HO153" s="151"/>
      <c r="HP153" s="151"/>
      <c r="HQ153" s="151"/>
      <c r="HR153" s="151"/>
      <c r="HS153" s="150"/>
      <c r="HT153" s="151"/>
      <c r="HU153" s="151"/>
      <c r="HV153" s="154"/>
      <c r="HW153" s="151"/>
      <c r="HX153" s="151"/>
      <c r="HY153" s="151"/>
      <c r="HZ153" s="151"/>
      <c r="IA153" s="150"/>
      <c r="IB153" s="151"/>
      <c r="IC153" s="151"/>
      <c r="ID153" s="151"/>
      <c r="IE153" s="152"/>
      <c r="IF153" s="124"/>
      <c r="II153" s="126"/>
      <c r="IN153" s="124"/>
      <c r="IR153" s="126"/>
      <c r="IW153" s="124"/>
      <c r="IZ153" s="126"/>
      <c r="JF153" s="124"/>
      <c r="JI153" s="126"/>
      <c r="JN153" s="124"/>
      <c r="JR153" s="126"/>
      <c r="JW153" s="150"/>
      <c r="JX153" s="151"/>
      <c r="JY153" s="151"/>
      <c r="JZ153" s="154"/>
      <c r="KA153" s="151"/>
      <c r="KB153" s="151"/>
      <c r="KC153" s="151"/>
      <c r="KD153" s="156"/>
      <c r="KE153" s="150"/>
      <c r="KF153" s="151"/>
      <c r="KG153" s="151"/>
      <c r="KH153" s="154"/>
    </row>
    <row r="154" spans="2:294" ht="18.600000000000001">
      <c r="B154" s="127"/>
      <c r="C154" s="244"/>
      <c r="D154" s="129"/>
      <c r="E154" s="130"/>
      <c r="F154" s="131"/>
      <c r="G154" s="131"/>
      <c r="H154" s="131"/>
      <c r="I154" s="132"/>
      <c r="J154" s="133"/>
      <c r="K154" s="131"/>
      <c r="L154" s="131"/>
      <c r="M154" s="132"/>
      <c r="N154" s="134"/>
      <c r="O154" s="131"/>
      <c r="P154" s="131"/>
      <c r="Q154" s="132"/>
      <c r="R154" s="134"/>
      <c r="S154" s="131"/>
      <c r="T154" s="131"/>
      <c r="U154" s="132"/>
      <c r="V154" s="130"/>
      <c r="W154" s="131"/>
      <c r="X154" s="131"/>
      <c r="Y154" s="131"/>
      <c r="Z154" s="132"/>
      <c r="AA154" s="134"/>
      <c r="AB154" s="131"/>
      <c r="AC154" s="131"/>
      <c r="AD154" s="132"/>
      <c r="AE154" s="134"/>
      <c r="AF154" s="131"/>
      <c r="AG154" s="131"/>
      <c r="AH154" s="132"/>
      <c r="AI154" s="134"/>
      <c r="AJ154" s="131"/>
      <c r="AK154" s="135"/>
      <c r="AL154" s="131"/>
      <c r="AM154" s="132"/>
      <c r="AN154" s="134"/>
      <c r="AO154" s="131"/>
      <c r="AP154" s="131"/>
      <c r="AQ154" s="132"/>
      <c r="AR154" s="134"/>
      <c r="AS154" s="131"/>
      <c r="AT154" s="131"/>
      <c r="AU154" s="131"/>
      <c r="AV154" s="132"/>
      <c r="AW154" s="134"/>
      <c r="AX154" s="131"/>
      <c r="AY154" s="131"/>
      <c r="AZ154" s="132"/>
      <c r="BA154" s="134"/>
      <c r="BB154" s="131"/>
      <c r="BC154" s="131"/>
      <c r="BD154" s="132"/>
      <c r="BE154" s="134"/>
      <c r="BF154" s="136"/>
      <c r="BG154" s="136"/>
      <c r="BH154" s="131"/>
      <c r="BI154" s="132"/>
      <c r="BJ154" s="133"/>
      <c r="BK154" s="135"/>
      <c r="BL154" s="131"/>
      <c r="BM154" s="136"/>
      <c r="BN154" s="134"/>
      <c r="BO154" s="131"/>
      <c r="BP154" s="131"/>
      <c r="BQ154" s="132"/>
      <c r="BR154" s="133"/>
      <c r="BS154" s="131"/>
      <c r="BT154" s="131"/>
      <c r="BU154" s="131"/>
      <c r="BV154" s="136"/>
      <c r="BW154" s="134"/>
      <c r="BX154" s="131"/>
      <c r="BY154" s="131"/>
      <c r="BZ154" s="132"/>
      <c r="CA154" s="133"/>
      <c r="CB154" s="131"/>
      <c r="CC154" s="131"/>
      <c r="CD154" s="132"/>
      <c r="CE154" s="137"/>
      <c r="CF154" s="133"/>
      <c r="CG154" s="138"/>
      <c r="CH154" s="138"/>
      <c r="CI154" s="139"/>
      <c r="CJ154" s="134"/>
      <c r="CK154" s="138"/>
      <c r="CL154" s="138"/>
      <c r="CM154" s="140"/>
      <c r="CR154" s="124"/>
      <c r="CV154" s="125"/>
      <c r="CW154" s="124"/>
      <c r="CZ154" s="126"/>
      <c r="DA154" s="124"/>
      <c r="DE154" s="124"/>
      <c r="DJ154" s="124"/>
      <c r="DK154" s="125"/>
      <c r="DM154" s="126"/>
      <c r="DN154" s="124"/>
      <c r="DS154" s="124"/>
      <c r="EA154" s="124"/>
      <c r="EE154" s="125"/>
      <c r="EF154" s="124"/>
      <c r="EJ154" s="124"/>
      <c r="EN154" s="124"/>
      <c r="ER154" s="126"/>
      <c r="EV154" s="125"/>
      <c r="EW154" s="124"/>
      <c r="EZ154" s="126"/>
      <c r="FF154" s="124"/>
      <c r="FI154" s="126"/>
      <c r="FK154" s="125"/>
      <c r="FN154" s="124"/>
      <c r="FR154" s="126"/>
      <c r="FW154" s="124"/>
      <c r="FZ154" s="126"/>
      <c r="GA154" s="124"/>
      <c r="GE154" s="141"/>
      <c r="GJ154" s="124"/>
      <c r="GM154" s="126"/>
      <c r="GS154" s="124"/>
      <c r="GV154" s="126"/>
      <c r="HA154" s="124"/>
      <c r="HE154" s="126"/>
      <c r="HJ154" s="124"/>
      <c r="HM154" s="126"/>
      <c r="HS154" s="124"/>
      <c r="HV154" s="126"/>
      <c r="IA154" s="124"/>
      <c r="IE154" s="125"/>
      <c r="IF154" s="124"/>
      <c r="II154" s="126"/>
      <c r="IN154" s="124"/>
      <c r="IR154" s="126"/>
      <c r="IW154" s="124"/>
      <c r="IZ154" s="126"/>
      <c r="JF154" s="124"/>
      <c r="JI154" s="126"/>
      <c r="JN154" s="124"/>
      <c r="JR154" s="126"/>
      <c r="JW154" s="124"/>
      <c r="JZ154" s="126"/>
      <c r="KD154" s="141"/>
      <c r="KE154" s="124"/>
      <c r="KH154" s="126"/>
    </row>
    <row r="155" spans="2:294" ht="18.600000000000001">
      <c r="B155" s="127"/>
      <c r="C155" s="323" t="s">
        <v>194</v>
      </c>
      <c r="D155" s="129" t="s">
        <v>186</v>
      </c>
      <c r="E155" s="130"/>
      <c r="F155" s="131"/>
      <c r="G155" s="131"/>
      <c r="H155" s="131"/>
      <c r="I155" s="132"/>
      <c r="J155" s="133"/>
      <c r="K155" s="131"/>
      <c r="L155" s="131"/>
      <c r="M155" s="132"/>
      <c r="N155" s="134"/>
      <c r="O155" s="131"/>
      <c r="P155" s="131"/>
      <c r="Q155" s="132"/>
      <c r="R155" s="134"/>
      <c r="S155" s="131"/>
      <c r="T155" s="131"/>
      <c r="U155" s="132"/>
      <c r="V155" s="130"/>
      <c r="W155" s="131"/>
      <c r="X155" s="131"/>
      <c r="Y155" s="131"/>
      <c r="Z155" s="132"/>
      <c r="AA155" s="134"/>
      <c r="AB155" s="131"/>
      <c r="AC155" s="131"/>
      <c r="AD155" s="132"/>
      <c r="AE155" s="134"/>
      <c r="AF155" s="131"/>
      <c r="AG155" s="131"/>
      <c r="AH155" s="132"/>
      <c r="AI155" s="134"/>
      <c r="AJ155" s="131"/>
      <c r="AK155" s="135"/>
      <c r="AL155" s="131"/>
      <c r="AM155" s="132"/>
      <c r="AN155" s="134"/>
      <c r="AO155" s="131"/>
      <c r="AP155" s="131"/>
      <c r="AQ155" s="132"/>
      <c r="AR155" s="134"/>
      <c r="AS155" s="131"/>
      <c r="AT155" s="131"/>
      <c r="AU155" s="131"/>
      <c r="AV155" s="132"/>
      <c r="AW155" s="134"/>
      <c r="AX155" s="131"/>
      <c r="AY155" s="131"/>
      <c r="AZ155" s="132"/>
      <c r="BA155" s="134"/>
      <c r="BB155" s="131"/>
      <c r="BC155" s="131"/>
      <c r="BD155" s="132"/>
      <c r="BE155" s="134"/>
      <c r="BF155" s="136"/>
      <c r="BG155" s="136"/>
      <c r="BH155" s="131"/>
      <c r="BI155" s="132"/>
      <c r="BJ155" s="133"/>
      <c r="BK155" s="135"/>
      <c r="BL155" s="131"/>
      <c r="BM155" s="136"/>
      <c r="BN155" s="134"/>
      <c r="BO155" s="131"/>
      <c r="BP155" s="131"/>
      <c r="BQ155" s="132"/>
      <c r="BR155" s="133"/>
      <c r="BS155" s="131"/>
      <c r="BT155" s="131"/>
      <c r="BU155" s="131"/>
      <c r="BV155" s="136"/>
      <c r="BW155" s="134"/>
      <c r="BX155" s="131"/>
      <c r="BY155" s="131"/>
      <c r="BZ155" s="132"/>
      <c r="CA155" s="133"/>
      <c r="CB155" s="131"/>
      <c r="CC155" s="131"/>
      <c r="CD155" s="132"/>
      <c r="CE155" s="137"/>
      <c r="CF155" s="133"/>
      <c r="CG155" s="138"/>
      <c r="CH155" s="138"/>
      <c r="CI155" s="139"/>
      <c r="CJ155" s="134"/>
      <c r="CK155" s="138"/>
      <c r="CL155" s="138"/>
      <c r="CM155" s="140"/>
      <c r="CR155" s="124"/>
      <c r="CV155" s="125"/>
      <c r="CW155" s="124"/>
      <c r="CZ155" s="126"/>
      <c r="DA155" s="124"/>
      <c r="DE155" s="124"/>
      <c r="DJ155" s="124"/>
      <c r="DK155" s="125"/>
      <c r="DM155" s="126"/>
      <c r="DN155" s="124"/>
      <c r="DS155" s="124"/>
      <c r="EA155" s="124"/>
      <c r="EE155" s="125"/>
      <c r="EF155" s="124"/>
      <c r="EJ155" s="124"/>
      <c r="EN155" s="124"/>
      <c r="ER155" s="126"/>
      <c r="EV155" s="125"/>
      <c r="EW155" s="124"/>
      <c r="EZ155" s="126"/>
      <c r="FF155" s="124"/>
      <c r="FI155" s="126"/>
      <c r="FK155" s="125"/>
      <c r="FN155" s="124"/>
      <c r="FR155" s="126"/>
      <c r="FW155" s="124"/>
      <c r="FZ155" s="126"/>
      <c r="GE155" s="141"/>
      <c r="GJ155" s="124"/>
      <c r="GM155" s="126"/>
      <c r="GS155" s="124"/>
      <c r="GV155" s="126"/>
      <c r="HA155" s="124"/>
      <c r="HE155" s="126"/>
      <c r="HJ155" s="124"/>
      <c r="HM155" s="126"/>
      <c r="HS155" s="124"/>
      <c r="HV155" s="126"/>
      <c r="IA155" s="124"/>
      <c r="IE155" s="125"/>
      <c r="IF155" s="124"/>
      <c r="II155" s="126"/>
      <c r="IN155" s="124"/>
      <c r="IR155" s="126"/>
      <c r="IW155" s="124"/>
      <c r="IZ155" s="126"/>
      <c r="JF155" s="124"/>
      <c r="JI155" s="126"/>
      <c r="JN155" s="124"/>
      <c r="JR155" s="126"/>
      <c r="JW155" s="124"/>
      <c r="JZ155" s="126"/>
      <c r="KD155" s="141"/>
      <c r="KE155" s="124"/>
      <c r="KH155" s="126"/>
    </row>
    <row r="156" spans="2:294" ht="18.600000000000001">
      <c r="B156" s="127"/>
      <c r="C156" s="244"/>
      <c r="D156" s="129"/>
      <c r="E156" s="130"/>
      <c r="F156" s="131"/>
      <c r="G156" s="131"/>
      <c r="H156" s="131"/>
      <c r="I156" s="132"/>
      <c r="J156" s="133"/>
      <c r="K156" s="131"/>
      <c r="L156" s="131"/>
      <c r="M156" s="132"/>
      <c r="N156" s="134"/>
      <c r="O156" s="131"/>
      <c r="P156" s="131"/>
      <c r="Q156" s="132"/>
      <c r="R156" s="134"/>
      <c r="S156" s="131"/>
      <c r="T156" s="131"/>
      <c r="U156" s="132"/>
      <c r="V156" s="130"/>
      <c r="W156" s="131"/>
      <c r="X156" s="131"/>
      <c r="Y156" s="131"/>
      <c r="Z156" s="132"/>
      <c r="AA156" s="134"/>
      <c r="AB156" s="131"/>
      <c r="AC156" s="131"/>
      <c r="AD156" s="132"/>
      <c r="AE156" s="134"/>
      <c r="AF156" s="131"/>
      <c r="AG156" s="131"/>
      <c r="AH156" s="132"/>
      <c r="AI156" s="134"/>
      <c r="AJ156" s="131"/>
      <c r="AK156" s="135"/>
      <c r="AL156" s="131"/>
      <c r="AM156" s="132"/>
      <c r="AN156" s="134"/>
      <c r="AO156" s="131"/>
      <c r="AP156" s="131"/>
      <c r="AQ156" s="132"/>
      <c r="AR156" s="134"/>
      <c r="AS156" s="131"/>
      <c r="AT156" s="131"/>
      <c r="AU156" s="131"/>
      <c r="AV156" s="132"/>
      <c r="AW156" s="134"/>
      <c r="AX156" s="131"/>
      <c r="AY156" s="131"/>
      <c r="AZ156" s="132"/>
      <c r="BA156" s="134"/>
      <c r="BB156" s="131"/>
      <c r="BC156" s="131"/>
      <c r="BD156" s="132"/>
      <c r="BE156" s="134"/>
      <c r="BF156" s="136"/>
      <c r="BG156" s="136"/>
      <c r="BH156" s="131"/>
      <c r="BI156" s="132"/>
      <c r="BJ156" s="133"/>
      <c r="BK156" s="135"/>
      <c r="BL156" s="131"/>
      <c r="BM156" s="136"/>
      <c r="BN156" s="134"/>
      <c r="BO156" s="131"/>
      <c r="BP156" s="131"/>
      <c r="BQ156" s="132"/>
      <c r="BR156" s="133"/>
      <c r="BS156" s="131"/>
      <c r="BT156" s="131"/>
      <c r="BU156" s="131"/>
      <c r="BV156" s="136"/>
      <c r="BW156" s="134"/>
      <c r="BX156" s="131"/>
      <c r="BY156" s="131"/>
      <c r="BZ156" s="132"/>
      <c r="CA156" s="133"/>
      <c r="CB156" s="131"/>
      <c r="CC156" s="131"/>
      <c r="CD156" s="132"/>
      <c r="CE156" s="137"/>
      <c r="CF156" s="133"/>
      <c r="CG156" s="138"/>
      <c r="CH156" s="138"/>
      <c r="CI156" s="139"/>
      <c r="CJ156" s="134"/>
      <c r="CK156" s="138"/>
      <c r="CL156" s="138"/>
      <c r="CM156" s="140"/>
      <c r="CR156" s="124"/>
      <c r="CV156" s="125"/>
      <c r="CW156" s="124"/>
      <c r="CZ156" s="126"/>
      <c r="DA156" s="124"/>
      <c r="DE156" s="124"/>
      <c r="DJ156" s="124"/>
      <c r="DK156" s="125"/>
      <c r="DM156" s="126"/>
      <c r="DN156" s="124"/>
      <c r="DS156" s="124"/>
      <c r="EA156" s="124"/>
      <c r="EE156" s="125"/>
      <c r="EF156" s="124"/>
      <c r="EJ156" s="124"/>
      <c r="EN156" s="124"/>
      <c r="ER156" s="126"/>
      <c r="EV156" s="125"/>
      <c r="EW156" s="124"/>
      <c r="EZ156" s="126"/>
      <c r="FF156" s="124"/>
      <c r="FI156" s="126"/>
      <c r="FK156" s="125"/>
      <c r="FN156" s="124"/>
      <c r="FR156" s="126"/>
      <c r="FW156" s="124"/>
      <c r="FZ156" s="126"/>
      <c r="GE156" s="141"/>
      <c r="GJ156" s="124"/>
      <c r="GM156" s="126"/>
      <c r="GS156" s="124"/>
      <c r="GV156" s="126"/>
      <c r="HA156" s="124"/>
      <c r="HE156" s="126"/>
      <c r="HJ156" s="124"/>
      <c r="HM156" s="126"/>
      <c r="HS156" s="124"/>
      <c r="HV156" s="126"/>
      <c r="IA156" s="124"/>
      <c r="IE156" s="125"/>
      <c r="IF156" s="124"/>
      <c r="II156" s="126"/>
      <c r="IN156" s="124"/>
      <c r="IR156" s="126"/>
      <c r="IW156" s="124"/>
      <c r="IZ156" s="126"/>
      <c r="JF156" s="124"/>
      <c r="JI156" s="126"/>
      <c r="JN156" s="124"/>
      <c r="JR156" s="126"/>
      <c r="JW156" s="124"/>
      <c r="JZ156" s="126"/>
      <c r="KD156" s="141"/>
      <c r="KE156" s="124"/>
      <c r="KH156" s="126"/>
    </row>
    <row r="157" spans="2:294" ht="18.600000000000001">
      <c r="B157" s="127"/>
      <c r="C157" s="244" t="s">
        <v>207</v>
      </c>
      <c r="D157" s="129" t="s">
        <v>192</v>
      </c>
      <c r="E157" s="130"/>
      <c r="F157" s="131"/>
      <c r="G157" s="131"/>
      <c r="H157" s="131"/>
      <c r="I157" s="132"/>
      <c r="J157" s="133"/>
      <c r="K157" s="131"/>
      <c r="L157" s="131"/>
      <c r="M157" s="132"/>
      <c r="N157" s="134"/>
      <c r="O157" s="131"/>
      <c r="P157" s="131"/>
      <c r="Q157" s="132"/>
      <c r="R157" s="134"/>
      <c r="S157" s="131"/>
      <c r="T157" s="131"/>
      <c r="U157" s="132"/>
      <c r="V157" s="130"/>
      <c r="W157" s="131"/>
      <c r="X157" s="131"/>
      <c r="Y157" s="131"/>
      <c r="Z157" s="132"/>
      <c r="AA157" s="134"/>
      <c r="AB157" s="131"/>
      <c r="AC157" s="131"/>
      <c r="AD157" s="132"/>
      <c r="AE157" s="134"/>
      <c r="AF157" s="131"/>
      <c r="AG157" s="131"/>
      <c r="AH157" s="132"/>
      <c r="AI157" s="134"/>
      <c r="AJ157" s="131"/>
      <c r="AK157" s="135"/>
      <c r="AL157" s="131"/>
      <c r="AM157" s="132"/>
      <c r="AN157" s="134"/>
      <c r="AO157" s="131"/>
      <c r="AP157" s="131"/>
      <c r="AQ157" s="132"/>
      <c r="AR157" s="134"/>
      <c r="AS157" s="131"/>
      <c r="AT157" s="131"/>
      <c r="AU157" s="131"/>
      <c r="AV157" s="132"/>
      <c r="AW157" s="134"/>
      <c r="AX157" s="131"/>
      <c r="AY157" s="131"/>
      <c r="AZ157" s="132"/>
      <c r="BA157" s="134"/>
      <c r="BB157" s="131"/>
      <c r="BC157" s="131"/>
      <c r="BD157" s="132"/>
      <c r="BE157" s="134"/>
      <c r="BF157" s="136"/>
      <c r="BG157" s="136"/>
      <c r="BH157" s="131"/>
      <c r="BI157" s="132"/>
      <c r="BJ157" s="133"/>
      <c r="BK157" s="135"/>
      <c r="BL157" s="131"/>
      <c r="BM157" s="136"/>
      <c r="BN157" s="134"/>
      <c r="BO157" s="131"/>
      <c r="BP157" s="131"/>
      <c r="BQ157" s="132"/>
      <c r="BR157" s="133"/>
      <c r="BS157" s="131"/>
      <c r="BT157" s="131"/>
      <c r="BU157" s="131"/>
      <c r="BV157" s="136"/>
      <c r="BW157" s="134"/>
      <c r="BX157" s="131"/>
      <c r="BY157" s="131"/>
      <c r="BZ157" s="132"/>
      <c r="CA157" s="133"/>
      <c r="CB157" s="131"/>
      <c r="CC157" s="131"/>
      <c r="CD157" s="132"/>
      <c r="CE157" s="137"/>
      <c r="CF157" s="133"/>
      <c r="CG157" s="138"/>
      <c r="CH157" s="138"/>
      <c r="CI157" s="139"/>
      <c r="CJ157" s="134"/>
      <c r="CK157" s="138"/>
      <c r="CL157" s="138"/>
      <c r="CM157" s="140"/>
      <c r="CR157" s="124"/>
      <c r="CV157" s="125"/>
      <c r="CW157" s="124"/>
      <c r="CZ157" s="126"/>
      <c r="DA157" s="124"/>
      <c r="DE157" s="124"/>
      <c r="DJ157" s="124"/>
      <c r="DK157" s="125"/>
      <c r="DM157" s="126"/>
      <c r="DN157" s="124"/>
      <c r="DS157" s="124"/>
      <c r="EA157" s="124"/>
      <c r="EE157" s="125"/>
      <c r="EF157" s="124"/>
      <c r="EJ157" s="124"/>
      <c r="EN157" s="124"/>
      <c r="ER157" s="126"/>
      <c r="EV157" s="125"/>
      <c r="EW157" s="124"/>
      <c r="EZ157" s="126"/>
      <c r="FF157" s="124"/>
      <c r="FI157" s="126"/>
      <c r="FK157" s="125"/>
      <c r="FN157" s="124"/>
      <c r="FR157" s="126"/>
      <c r="FW157" s="124"/>
      <c r="FZ157" s="126"/>
      <c r="GA157" s="124"/>
      <c r="GE157" s="141"/>
      <c r="GJ157" s="124"/>
      <c r="GM157" s="126"/>
      <c r="GS157" s="124"/>
      <c r="GV157" s="126"/>
      <c r="HA157" s="124"/>
      <c r="HE157" s="126"/>
      <c r="HJ157" s="124"/>
      <c r="HM157" s="126"/>
      <c r="HS157" s="124"/>
      <c r="HV157" s="126"/>
      <c r="IA157" s="124"/>
      <c r="IE157" s="125"/>
      <c r="IF157" s="124"/>
      <c r="II157" s="126"/>
      <c r="IN157" s="124"/>
      <c r="IR157" s="126"/>
      <c r="IW157" s="124"/>
      <c r="IZ157" s="126"/>
      <c r="JF157" s="124"/>
      <c r="JI157" s="126"/>
      <c r="JN157" s="124"/>
      <c r="JR157" s="126"/>
      <c r="JW157" s="124"/>
      <c r="JZ157" s="126"/>
      <c r="KD157" s="141"/>
      <c r="KE157" s="124"/>
      <c r="KH157" s="126"/>
    </row>
    <row r="158" spans="2:294" ht="18.600000000000001">
      <c r="B158" s="127"/>
      <c r="C158" s="244"/>
      <c r="D158" s="129"/>
      <c r="E158" s="130"/>
      <c r="F158" s="131"/>
      <c r="G158" s="131"/>
      <c r="H158" s="131"/>
      <c r="I158" s="132"/>
      <c r="J158" s="133"/>
      <c r="K158" s="131"/>
      <c r="L158" s="131"/>
      <c r="M158" s="132"/>
      <c r="N158" s="134"/>
      <c r="O158" s="131"/>
      <c r="P158" s="131"/>
      <c r="Q158" s="132"/>
      <c r="R158" s="134"/>
      <c r="S158" s="131"/>
      <c r="T158" s="131"/>
      <c r="U158" s="132"/>
      <c r="V158" s="130"/>
      <c r="W158" s="131"/>
      <c r="X158" s="131"/>
      <c r="Y158" s="131"/>
      <c r="Z158" s="132"/>
      <c r="AA158" s="134"/>
      <c r="AB158" s="131"/>
      <c r="AC158" s="131"/>
      <c r="AD158" s="132"/>
      <c r="AE158" s="134"/>
      <c r="AF158" s="131"/>
      <c r="AG158" s="131"/>
      <c r="AH158" s="132"/>
      <c r="AI158" s="134"/>
      <c r="AJ158" s="131"/>
      <c r="AK158" s="135"/>
      <c r="AL158" s="131"/>
      <c r="AM158" s="132"/>
      <c r="AN158" s="134"/>
      <c r="AO158" s="131"/>
      <c r="AP158" s="131"/>
      <c r="AQ158" s="132"/>
      <c r="AR158" s="134"/>
      <c r="AS158" s="131"/>
      <c r="AT158" s="131"/>
      <c r="AU158" s="131"/>
      <c r="AV158" s="132"/>
      <c r="AW158" s="134"/>
      <c r="AX158" s="131"/>
      <c r="AY158" s="131"/>
      <c r="AZ158" s="132"/>
      <c r="BA158" s="134"/>
      <c r="BB158" s="131"/>
      <c r="BC158" s="131"/>
      <c r="BD158" s="132"/>
      <c r="BE158" s="134"/>
      <c r="BF158" s="136"/>
      <c r="BG158" s="136"/>
      <c r="BH158" s="131"/>
      <c r="BI158" s="132"/>
      <c r="BJ158" s="133"/>
      <c r="BK158" s="135"/>
      <c r="BL158" s="131"/>
      <c r="BM158" s="136"/>
      <c r="BN158" s="134"/>
      <c r="BO158" s="131"/>
      <c r="BP158" s="131"/>
      <c r="BQ158" s="132"/>
      <c r="BR158" s="133"/>
      <c r="BS158" s="131"/>
      <c r="BT158" s="131"/>
      <c r="BU158" s="131"/>
      <c r="BV158" s="136"/>
      <c r="BW158" s="134"/>
      <c r="BX158" s="131"/>
      <c r="BY158" s="131"/>
      <c r="BZ158" s="132"/>
      <c r="CA158" s="133"/>
      <c r="CB158" s="131"/>
      <c r="CC158" s="131"/>
      <c r="CD158" s="132"/>
      <c r="CE158" s="137"/>
      <c r="CF158" s="133"/>
      <c r="CG158" s="138"/>
      <c r="CH158" s="138"/>
      <c r="CI158" s="139"/>
      <c r="CJ158" s="134"/>
      <c r="CK158" s="138"/>
      <c r="CL158" s="138"/>
      <c r="CM158" s="140"/>
      <c r="CR158" s="124"/>
      <c r="CV158" s="125"/>
      <c r="CW158" s="124"/>
      <c r="CZ158" s="126"/>
      <c r="DA158" s="124"/>
      <c r="DE158" s="124"/>
      <c r="DJ158" s="124"/>
      <c r="DK158" s="125"/>
      <c r="DM158" s="126"/>
      <c r="DN158" s="124"/>
      <c r="DS158" s="124"/>
      <c r="EA158" s="124"/>
      <c r="EE158" s="125"/>
      <c r="EF158" s="124"/>
      <c r="EJ158" s="124"/>
      <c r="EN158" s="124"/>
      <c r="ER158" s="126"/>
      <c r="EV158" s="125"/>
      <c r="EW158" s="124"/>
      <c r="EZ158" s="126"/>
      <c r="FF158" s="124"/>
      <c r="FI158" s="126"/>
      <c r="FK158" s="125"/>
      <c r="FN158" s="124"/>
      <c r="FR158" s="126"/>
      <c r="FW158" s="124"/>
      <c r="FZ158" s="126"/>
      <c r="GA158" s="124"/>
      <c r="GE158" s="141"/>
      <c r="GJ158" s="124"/>
      <c r="GM158" s="126"/>
      <c r="GS158" s="124"/>
      <c r="GV158" s="126"/>
      <c r="HA158" s="124"/>
      <c r="HE158" s="126"/>
      <c r="HJ158" s="124"/>
      <c r="HM158" s="126"/>
      <c r="HS158" s="124"/>
      <c r="HV158" s="126"/>
      <c r="IA158" s="124"/>
      <c r="IE158" s="125"/>
      <c r="IF158" s="124"/>
      <c r="II158" s="126"/>
      <c r="IN158" s="124"/>
      <c r="IR158" s="126"/>
      <c r="IW158" s="124"/>
      <c r="IZ158" s="126"/>
      <c r="JF158" s="124"/>
      <c r="JI158" s="126"/>
      <c r="JN158" s="124"/>
      <c r="JR158" s="126"/>
      <c r="JW158" s="124"/>
      <c r="JZ158" s="126"/>
      <c r="KD158" s="141"/>
      <c r="KE158" s="124"/>
      <c r="KH158" s="126"/>
    </row>
    <row r="159" spans="2:294" ht="18.600000000000001">
      <c r="B159" s="127"/>
      <c r="C159" s="244"/>
      <c r="D159" s="129"/>
      <c r="E159" s="130"/>
      <c r="F159" s="131"/>
      <c r="G159" s="131"/>
      <c r="H159" s="131"/>
      <c r="I159" s="132"/>
      <c r="J159" s="133"/>
      <c r="K159" s="131"/>
      <c r="L159" s="131"/>
      <c r="M159" s="132"/>
      <c r="N159" s="134"/>
      <c r="O159" s="131"/>
      <c r="P159" s="131"/>
      <c r="Q159" s="132"/>
      <c r="R159" s="134"/>
      <c r="S159" s="131"/>
      <c r="T159" s="131"/>
      <c r="U159" s="132"/>
      <c r="V159" s="130"/>
      <c r="W159" s="131"/>
      <c r="X159" s="131"/>
      <c r="Y159" s="131"/>
      <c r="Z159" s="132"/>
      <c r="AA159" s="134"/>
      <c r="AB159" s="131"/>
      <c r="AC159" s="131"/>
      <c r="AD159" s="132"/>
      <c r="AE159" s="134"/>
      <c r="AF159" s="131"/>
      <c r="AG159" s="131"/>
      <c r="AH159" s="132"/>
      <c r="AI159" s="134"/>
      <c r="AJ159" s="131"/>
      <c r="AK159" s="135"/>
      <c r="AL159" s="131"/>
      <c r="AM159" s="132"/>
      <c r="AN159" s="134"/>
      <c r="AO159" s="131"/>
      <c r="AP159" s="131"/>
      <c r="AQ159" s="132"/>
      <c r="AR159" s="134"/>
      <c r="AS159" s="131"/>
      <c r="AT159" s="131"/>
      <c r="AU159" s="131"/>
      <c r="AV159" s="132"/>
      <c r="AW159" s="134"/>
      <c r="AX159" s="131"/>
      <c r="AY159" s="131"/>
      <c r="AZ159" s="132"/>
      <c r="BA159" s="134"/>
      <c r="BB159" s="131"/>
      <c r="BC159" s="131"/>
      <c r="BD159" s="132"/>
      <c r="BE159" s="134"/>
      <c r="BF159" s="136"/>
      <c r="BG159" s="136"/>
      <c r="BH159" s="131"/>
      <c r="BI159" s="132"/>
      <c r="BJ159" s="133"/>
      <c r="BK159" s="135"/>
      <c r="BL159" s="131"/>
      <c r="BM159" s="136"/>
      <c r="BN159" s="134"/>
      <c r="BO159" s="131"/>
      <c r="BP159" s="131"/>
      <c r="BQ159" s="132"/>
      <c r="BR159" s="133"/>
      <c r="BS159" s="131"/>
      <c r="BT159" s="131"/>
      <c r="BU159" s="131"/>
      <c r="BV159" s="136"/>
      <c r="BW159" s="134"/>
      <c r="BX159" s="131"/>
      <c r="BY159" s="131"/>
      <c r="BZ159" s="132"/>
      <c r="CA159" s="133"/>
      <c r="CB159" s="131"/>
      <c r="CC159" s="131"/>
      <c r="CD159" s="132"/>
      <c r="CE159" s="137"/>
      <c r="CF159" s="133"/>
      <c r="CG159" s="138"/>
      <c r="CH159" s="138"/>
      <c r="CI159" s="139"/>
      <c r="CJ159" s="134"/>
      <c r="CK159" s="138"/>
      <c r="CL159" s="138"/>
      <c r="CM159" s="140"/>
      <c r="CR159" s="124"/>
      <c r="CV159" s="125"/>
      <c r="CW159" s="124"/>
      <c r="CZ159" s="126"/>
      <c r="DA159" s="124"/>
      <c r="DE159" s="124"/>
      <c r="DJ159" s="124"/>
      <c r="DK159" s="125"/>
      <c r="DM159" s="126"/>
      <c r="DN159" s="124"/>
      <c r="DS159" s="124"/>
      <c r="EA159" s="124"/>
      <c r="EE159" s="125"/>
      <c r="EF159" s="124"/>
      <c r="EJ159" s="124"/>
      <c r="EN159" s="124"/>
      <c r="ER159" s="126"/>
      <c r="EV159" s="125"/>
      <c r="EW159" s="124"/>
      <c r="EZ159" s="126"/>
      <c r="FF159" s="124"/>
      <c r="FI159" s="126"/>
      <c r="FK159" s="125"/>
      <c r="FN159" s="124"/>
      <c r="FR159" s="126"/>
      <c r="FW159" s="124"/>
      <c r="FZ159" s="126"/>
      <c r="GA159" s="124"/>
      <c r="GE159" s="141"/>
      <c r="GJ159" s="124" t="s">
        <v>401</v>
      </c>
      <c r="GM159" s="126"/>
      <c r="GS159" s="124"/>
      <c r="GV159" s="126"/>
      <c r="HA159" s="124"/>
      <c r="HE159" s="126"/>
      <c r="HJ159" s="124"/>
      <c r="HM159" s="126"/>
      <c r="HS159" s="124"/>
      <c r="HV159" s="126"/>
      <c r="IA159" s="124"/>
      <c r="IE159" s="125"/>
      <c r="IF159" s="124"/>
      <c r="II159" s="126"/>
      <c r="IN159" s="124"/>
      <c r="IR159" s="126"/>
      <c r="IW159" s="124"/>
      <c r="IZ159" s="126"/>
      <c r="JF159" s="124"/>
      <c r="JI159" s="126"/>
      <c r="JN159" s="124"/>
      <c r="JR159" s="126"/>
      <c r="JW159" s="124"/>
      <c r="JZ159" s="126"/>
      <c r="KD159" s="141"/>
      <c r="KE159" s="124"/>
      <c r="KH159" s="126"/>
    </row>
    <row r="160" spans="2:294" ht="18.600000000000001">
      <c r="B160" s="127"/>
      <c r="C160" s="244"/>
      <c r="D160" s="129"/>
      <c r="E160" s="130"/>
      <c r="F160" s="131"/>
      <c r="G160" s="131"/>
      <c r="H160" s="131"/>
      <c r="I160" s="132"/>
      <c r="J160" s="133"/>
      <c r="K160" s="131"/>
      <c r="L160" s="131"/>
      <c r="M160" s="132"/>
      <c r="N160" s="134"/>
      <c r="O160" s="131"/>
      <c r="P160" s="131"/>
      <c r="Q160" s="132"/>
      <c r="R160" s="134"/>
      <c r="S160" s="131"/>
      <c r="T160" s="131"/>
      <c r="U160" s="132"/>
      <c r="V160" s="130"/>
      <c r="W160" s="131"/>
      <c r="X160" s="131"/>
      <c r="Y160" s="131"/>
      <c r="Z160" s="132"/>
      <c r="AA160" s="134"/>
      <c r="AB160" s="131"/>
      <c r="AC160" s="131"/>
      <c r="AD160" s="132"/>
      <c r="AE160" s="134"/>
      <c r="AF160" s="131"/>
      <c r="AG160" s="131"/>
      <c r="AH160" s="132"/>
      <c r="AI160" s="134"/>
      <c r="AJ160" s="131"/>
      <c r="AK160" s="135"/>
      <c r="AL160" s="131"/>
      <c r="AM160" s="132"/>
      <c r="AN160" s="134"/>
      <c r="AO160" s="131"/>
      <c r="AP160" s="131"/>
      <c r="AQ160" s="132"/>
      <c r="AR160" s="134"/>
      <c r="AS160" s="131"/>
      <c r="AT160" s="131"/>
      <c r="AU160" s="131"/>
      <c r="AV160" s="132"/>
      <c r="AW160" s="134"/>
      <c r="AX160" s="131"/>
      <c r="AY160" s="131"/>
      <c r="AZ160" s="132"/>
      <c r="BA160" s="134"/>
      <c r="BB160" s="131"/>
      <c r="BC160" s="131"/>
      <c r="BD160" s="132"/>
      <c r="BE160" s="134"/>
      <c r="BF160" s="136"/>
      <c r="BG160" s="136"/>
      <c r="BH160" s="131"/>
      <c r="BI160" s="132"/>
      <c r="BJ160" s="133"/>
      <c r="BK160" s="135"/>
      <c r="BL160" s="131"/>
      <c r="BM160" s="136"/>
      <c r="BN160" s="134"/>
      <c r="BO160" s="131"/>
      <c r="BP160" s="131"/>
      <c r="BQ160" s="132"/>
      <c r="BR160" s="133"/>
      <c r="BS160" s="131"/>
      <c r="BT160" s="131"/>
      <c r="BU160" s="131"/>
      <c r="BV160" s="136"/>
      <c r="BW160" s="134"/>
      <c r="BX160" s="131"/>
      <c r="BY160" s="131"/>
      <c r="BZ160" s="132"/>
      <c r="CA160" s="133"/>
      <c r="CB160" s="131"/>
      <c r="CC160" s="131"/>
      <c r="CD160" s="132"/>
      <c r="CE160" s="137"/>
      <c r="CF160" s="133"/>
      <c r="CG160" s="138"/>
      <c r="CH160" s="138"/>
      <c r="CI160" s="139"/>
      <c r="CJ160" s="134"/>
      <c r="CK160" s="138"/>
      <c r="CL160" s="138"/>
      <c r="CM160" s="140"/>
      <c r="CR160" s="124"/>
      <c r="CV160" s="125"/>
      <c r="CW160" s="124"/>
      <c r="CZ160" s="126"/>
      <c r="DA160" s="124"/>
      <c r="DE160" s="124"/>
      <c r="DJ160" s="124"/>
      <c r="DK160" s="125"/>
      <c r="DM160" s="126"/>
      <c r="DN160" s="124"/>
      <c r="DS160" s="124"/>
      <c r="EA160" s="124"/>
      <c r="EE160" s="125"/>
      <c r="EF160" s="124"/>
      <c r="EJ160" s="124"/>
      <c r="EN160" s="124"/>
      <c r="ER160" s="126"/>
      <c r="EV160" s="125"/>
      <c r="EW160" s="124"/>
      <c r="EZ160" s="126"/>
      <c r="FF160" s="124"/>
      <c r="FI160" s="126"/>
      <c r="FK160" s="125"/>
      <c r="FN160" s="124"/>
      <c r="FR160" s="126"/>
      <c r="FW160" s="124"/>
      <c r="FZ160" s="126"/>
      <c r="GA160" s="124"/>
      <c r="GE160" s="141"/>
      <c r="GJ160" s="124" t="s">
        <v>402</v>
      </c>
      <c r="GM160" s="126"/>
      <c r="GS160" s="124"/>
      <c r="GV160" s="126"/>
      <c r="HA160" s="124"/>
      <c r="HE160" s="126"/>
      <c r="HJ160" s="124"/>
      <c r="HM160" s="126"/>
      <c r="HS160" s="124"/>
      <c r="HV160" s="126"/>
      <c r="IA160" s="124"/>
      <c r="IE160" s="125"/>
      <c r="IF160" s="124"/>
      <c r="II160" s="126"/>
      <c r="IN160" s="124"/>
      <c r="IR160" s="126"/>
      <c r="IW160" s="124"/>
      <c r="IZ160" s="126"/>
      <c r="JF160" s="124"/>
      <c r="JI160" s="126"/>
      <c r="JN160" s="124"/>
      <c r="JR160" s="126"/>
      <c r="JW160" s="124"/>
      <c r="JZ160" s="126"/>
      <c r="KD160" s="141"/>
      <c r="KE160" s="124"/>
      <c r="KH160" s="126"/>
    </row>
    <row r="161" spans="2:294" ht="19.2" thickBot="1">
      <c r="B161" s="127"/>
      <c r="C161" s="252"/>
      <c r="D161" s="158"/>
      <c r="E161" s="159"/>
      <c r="F161" s="160"/>
      <c r="G161" s="160"/>
      <c r="H161" s="160"/>
      <c r="I161" s="161"/>
      <c r="J161" s="162"/>
      <c r="K161" s="160"/>
      <c r="L161" s="160"/>
      <c r="M161" s="161"/>
      <c r="N161" s="163"/>
      <c r="O161" s="160"/>
      <c r="P161" s="160"/>
      <c r="Q161" s="161"/>
      <c r="R161" s="163"/>
      <c r="S161" s="160"/>
      <c r="T161" s="160"/>
      <c r="U161" s="161"/>
      <c r="V161" s="159"/>
      <c r="W161" s="160"/>
      <c r="X161" s="160"/>
      <c r="Y161" s="160"/>
      <c r="Z161" s="161"/>
      <c r="AA161" s="163"/>
      <c r="AB161" s="160"/>
      <c r="AC161" s="160"/>
      <c r="AD161" s="161"/>
      <c r="AE161" s="163"/>
      <c r="AF161" s="160"/>
      <c r="AG161" s="160"/>
      <c r="AH161" s="161"/>
      <c r="AI161" s="163"/>
      <c r="AJ161" s="160"/>
      <c r="AK161" s="164"/>
      <c r="AL161" s="160"/>
      <c r="AM161" s="161"/>
      <c r="AN161" s="163"/>
      <c r="AO161" s="160"/>
      <c r="AP161" s="160"/>
      <c r="AQ161" s="161"/>
      <c r="AR161" s="163"/>
      <c r="AS161" s="160"/>
      <c r="AT161" s="160"/>
      <c r="AU161" s="160"/>
      <c r="AV161" s="161"/>
      <c r="AW161" s="163"/>
      <c r="AX161" s="160"/>
      <c r="AY161" s="160"/>
      <c r="AZ161" s="161"/>
      <c r="BA161" s="163"/>
      <c r="BB161" s="160"/>
      <c r="BC161" s="160"/>
      <c r="BD161" s="161"/>
      <c r="BE161" s="163"/>
      <c r="BF161" s="165"/>
      <c r="BG161" s="165"/>
      <c r="BH161" s="160"/>
      <c r="BI161" s="161"/>
      <c r="BJ161" s="162"/>
      <c r="BK161" s="164"/>
      <c r="BL161" s="160"/>
      <c r="BM161" s="165"/>
      <c r="BN161" s="163"/>
      <c r="BO161" s="160"/>
      <c r="BP161" s="160"/>
      <c r="BQ161" s="161"/>
      <c r="BR161" s="162"/>
      <c r="BS161" s="160"/>
      <c r="BT161" s="160"/>
      <c r="BU161" s="160"/>
      <c r="BV161" s="165"/>
      <c r="BW161" s="163"/>
      <c r="BX161" s="160"/>
      <c r="BY161" s="160"/>
      <c r="BZ161" s="161"/>
      <c r="CA161" s="162"/>
      <c r="CB161" s="160"/>
      <c r="CC161" s="160"/>
      <c r="CD161" s="161"/>
      <c r="CE161" s="166"/>
      <c r="CF161" s="162"/>
      <c r="CG161" s="167"/>
      <c r="CH161" s="167"/>
      <c r="CI161" s="168"/>
      <c r="CJ161" s="163"/>
      <c r="CK161" s="167"/>
      <c r="CL161" s="167"/>
      <c r="CM161" s="169"/>
      <c r="CN161" s="145"/>
      <c r="CO161" s="145"/>
      <c r="CP161" s="145"/>
      <c r="CQ161" s="145"/>
      <c r="CR161" s="146"/>
      <c r="CS161" s="145"/>
      <c r="CT161" s="145"/>
      <c r="CU161" s="145"/>
      <c r="CV161" s="147"/>
      <c r="CW161" s="146"/>
      <c r="CX161" s="145"/>
      <c r="CY161" s="145"/>
      <c r="CZ161" s="148"/>
      <c r="DA161" s="146"/>
      <c r="DB161" s="145"/>
      <c r="DC161" s="145"/>
      <c r="DD161" s="145"/>
      <c r="DE161" s="146"/>
      <c r="DF161" s="145"/>
      <c r="DG161" s="145"/>
      <c r="DH161" s="145"/>
      <c r="DI161" s="145"/>
      <c r="DJ161" s="146"/>
      <c r="DK161" s="147"/>
      <c r="DL161" s="145"/>
      <c r="DM161" s="148"/>
      <c r="DN161" s="146"/>
      <c r="DO161" s="145"/>
      <c r="DP161" s="145"/>
      <c r="DQ161" s="145"/>
      <c r="DR161" s="145"/>
      <c r="DS161" s="146"/>
      <c r="DT161" s="145"/>
      <c r="DU161" s="145"/>
      <c r="DV161" s="145"/>
      <c r="DW161" s="145"/>
      <c r="DX161" s="145"/>
      <c r="DY161" s="145"/>
      <c r="DZ161" s="145"/>
      <c r="EA161" s="146"/>
      <c r="EB161" s="145"/>
      <c r="EC161" s="145"/>
      <c r="ED161" s="145"/>
      <c r="EE161" s="147"/>
      <c r="EF161" s="146"/>
      <c r="EG161" s="145"/>
      <c r="EH161" s="145"/>
      <c r="EI161" s="145"/>
      <c r="EJ161" s="146"/>
      <c r="EK161" s="145"/>
      <c r="EL161" s="145"/>
      <c r="EM161" s="145"/>
      <c r="EN161" s="146"/>
      <c r="EO161" s="145"/>
      <c r="EP161" s="145"/>
      <c r="EQ161" s="145"/>
      <c r="ER161" s="148"/>
      <c r="ES161" s="145"/>
      <c r="ET161" s="145"/>
      <c r="EU161" s="145"/>
      <c r="EV161" s="147"/>
      <c r="EW161" s="146"/>
      <c r="EX161" s="145"/>
      <c r="EY161" s="145"/>
      <c r="EZ161" s="148"/>
      <c r="FA161" s="145"/>
      <c r="FB161" s="145"/>
      <c r="FC161" s="145"/>
      <c r="FD161" s="145"/>
      <c r="FE161" s="145"/>
      <c r="FF161" s="146"/>
      <c r="FG161" s="145"/>
      <c r="FH161" s="145"/>
      <c r="FI161" s="148"/>
      <c r="FJ161" s="145"/>
      <c r="FK161" s="147"/>
      <c r="FL161" s="145"/>
      <c r="FM161" s="145"/>
      <c r="FN161" s="146"/>
      <c r="FO161" s="145"/>
      <c r="FP161" s="145"/>
      <c r="FQ161" s="145"/>
      <c r="FR161" s="148"/>
      <c r="FS161" s="145"/>
      <c r="FT161" s="145"/>
      <c r="FU161" s="145"/>
      <c r="FV161" s="145"/>
      <c r="FW161" s="146"/>
      <c r="FX161" s="145"/>
      <c r="FY161" s="145"/>
      <c r="FZ161" s="148"/>
      <c r="GA161" s="146"/>
      <c r="GB161" s="145"/>
      <c r="GC161" s="145"/>
      <c r="GD161" s="145"/>
      <c r="GE161" s="149"/>
      <c r="GF161" s="145"/>
      <c r="GG161" s="145"/>
      <c r="GH161" s="145"/>
      <c r="GI161" s="145"/>
      <c r="GJ161" s="146"/>
      <c r="GK161" s="145"/>
      <c r="GL161" s="145"/>
      <c r="GM161" s="148"/>
      <c r="GN161" s="145"/>
      <c r="GO161" s="145"/>
      <c r="GP161" s="145"/>
      <c r="GQ161" s="145"/>
      <c r="GR161" s="145"/>
      <c r="GS161" s="146"/>
      <c r="GT161" s="145"/>
      <c r="GU161" s="145"/>
      <c r="GV161" s="148"/>
      <c r="GW161" s="145"/>
      <c r="GX161" s="145"/>
      <c r="GY161" s="145"/>
      <c r="GZ161" s="145"/>
      <c r="HA161" s="146"/>
      <c r="HB161" s="145"/>
      <c r="HC161" s="145"/>
      <c r="HD161" s="145"/>
      <c r="HE161" s="148"/>
      <c r="HF161" s="145"/>
      <c r="HG161" s="145"/>
      <c r="HH161" s="145"/>
      <c r="HI161" s="145"/>
      <c r="HJ161" s="146"/>
      <c r="HK161" s="145"/>
      <c r="HL161" s="145"/>
      <c r="HM161" s="148"/>
      <c r="HN161" s="145"/>
      <c r="HO161" s="145"/>
      <c r="HP161" s="145"/>
      <c r="HQ161" s="145"/>
      <c r="HR161" s="145"/>
      <c r="HS161" s="146"/>
      <c r="HT161" s="145"/>
      <c r="HU161" s="145"/>
      <c r="HV161" s="148"/>
      <c r="HW161" s="145"/>
      <c r="HX161" s="145"/>
      <c r="HY161" s="145"/>
      <c r="HZ161" s="145"/>
      <c r="IA161" s="146"/>
      <c r="IB161" s="145"/>
      <c r="IC161" s="145"/>
      <c r="ID161" s="145"/>
      <c r="IE161" s="147"/>
      <c r="IF161" s="146"/>
      <c r="IG161" s="145"/>
      <c r="IH161" s="145"/>
      <c r="II161" s="148"/>
      <c r="IJ161" s="145"/>
      <c r="IK161" s="145"/>
      <c r="IL161" s="145"/>
      <c r="IM161" s="145"/>
      <c r="IN161" s="146"/>
      <c r="IO161" s="145"/>
      <c r="IP161" s="145"/>
      <c r="IQ161" s="145"/>
      <c r="IR161" s="148"/>
      <c r="IS161" s="145"/>
      <c r="IT161" s="145"/>
      <c r="IU161" s="145"/>
      <c r="IV161" s="145"/>
      <c r="IW161" s="146"/>
      <c r="IX161" s="145"/>
      <c r="IY161" s="145"/>
      <c r="IZ161" s="148"/>
      <c r="JA161" s="145"/>
      <c r="JB161" s="145"/>
      <c r="JC161" s="145"/>
      <c r="JD161" s="145"/>
      <c r="JE161" s="145"/>
      <c r="JF161" s="146"/>
      <c r="JG161" s="145"/>
      <c r="JH161" s="145"/>
      <c r="JI161" s="148"/>
      <c r="JJ161" s="145"/>
      <c r="JK161" s="145"/>
      <c r="JL161" s="145"/>
      <c r="JM161" s="145"/>
      <c r="JN161" s="146"/>
      <c r="JO161" s="145"/>
      <c r="JP161" s="145"/>
      <c r="JQ161" s="145"/>
      <c r="JR161" s="148"/>
      <c r="JS161" s="145"/>
      <c r="JT161" s="145"/>
      <c r="JU161" s="145"/>
      <c r="JV161" s="145"/>
      <c r="JW161" s="146"/>
      <c r="JX161" s="145"/>
      <c r="JY161" s="145"/>
      <c r="JZ161" s="148"/>
      <c r="KA161" s="145"/>
      <c r="KB161" s="145"/>
      <c r="KC161" s="145"/>
      <c r="KD161" s="149"/>
      <c r="KE161" s="146"/>
      <c r="KF161" s="145"/>
      <c r="KG161" s="145"/>
      <c r="KH161" s="148"/>
    </row>
    <row r="162" spans="2:294" ht="19.2" thickTop="1">
      <c r="B162" s="127"/>
      <c r="C162" s="254"/>
      <c r="D162" s="179"/>
      <c r="E162" s="180"/>
      <c r="F162" s="181"/>
      <c r="G162" s="181"/>
      <c r="H162" s="181"/>
      <c r="I162" s="182"/>
      <c r="J162" s="183"/>
      <c r="K162" s="181"/>
      <c r="L162" s="181"/>
      <c r="M162" s="182"/>
      <c r="N162" s="184"/>
      <c r="O162" s="181"/>
      <c r="P162" s="181"/>
      <c r="Q162" s="182"/>
      <c r="R162" s="184"/>
      <c r="S162" s="181"/>
      <c r="T162" s="181"/>
      <c r="U162" s="182"/>
      <c r="V162" s="180"/>
      <c r="W162" s="181"/>
      <c r="X162" s="181"/>
      <c r="Y162" s="181"/>
      <c r="Z162" s="182"/>
      <c r="AA162" s="184"/>
      <c r="AB162" s="181"/>
      <c r="AC162" s="181"/>
      <c r="AD162" s="182"/>
      <c r="AE162" s="184"/>
      <c r="AF162" s="181"/>
      <c r="AG162" s="181"/>
      <c r="AH162" s="182"/>
      <c r="AI162" s="184"/>
      <c r="AJ162" s="181"/>
      <c r="AK162" s="185"/>
      <c r="AL162" s="181"/>
      <c r="AM162" s="182"/>
      <c r="AN162" s="184"/>
      <c r="AO162" s="181"/>
      <c r="AP162" s="181"/>
      <c r="AQ162" s="182"/>
      <c r="AR162" s="184"/>
      <c r="AS162" s="181"/>
      <c r="AT162" s="181"/>
      <c r="AU162" s="181"/>
      <c r="AV162" s="182"/>
      <c r="AW162" s="184"/>
      <c r="AX162" s="181"/>
      <c r="AY162" s="181"/>
      <c r="AZ162" s="182"/>
      <c r="BA162" s="184"/>
      <c r="BB162" s="181"/>
      <c r="BC162" s="181"/>
      <c r="BD162" s="182"/>
      <c r="BE162" s="184"/>
      <c r="BF162" s="186"/>
      <c r="BG162" s="186"/>
      <c r="BH162" s="181"/>
      <c r="BI162" s="182"/>
      <c r="BJ162" s="183"/>
      <c r="BK162" s="185"/>
      <c r="BL162" s="181"/>
      <c r="BM162" s="186"/>
      <c r="BN162" s="184"/>
      <c r="BO162" s="181"/>
      <c r="BP162" s="181"/>
      <c r="BQ162" s="182"/>
      <c r="BR162" s="183"/>
      <c r="BS162" s="181"/>
      <c r="BT162" s="181"/>
      <c r="BU162" s="181"/>
      <c r="BV162" s="186"/>
      <c r="BW162" s="184"/>
      <c r="BX162" s="181"/>
      <c r="BY162" s="181"/>
      <c r="BZ162" s="182"/>
      <c r="CA162" s="183"/>
      <c r="CB162" s="181"/>
      <c r="CC162" s="181"/>
      <c r="CD162" s="182"/>
      <c r="CE162" s="187"/>
      <c r="CF162" s="183"/>
      <c r="CG162" s="188"/>
      <c r="CH162" s="188"/>
      <c r="CI162" s="189"/>
      <c r="CJ162" s="184"/>
      <c r="CK162" s="188"/>
      <c r="CL162" s="188"/>
      <c r="CM162" s="190"/>
      <c r="CN162" s="151"/>
      <c r="CO162" s="151"/>
      <c r="CP162" s="151"/>
      <c r="CQ162" s="151"/>
      <c r="CR162" s="150"/>
      <c r="CS162" s="151"/>
      <c r="CT162" s="151"/>
      <c r="CU162" s="151"/>
      <c r="CV162" s="152"/>
      <c r="CW162" s="150"/>
      <c r="CX162" s="151"/>
      <c r="CY162" s="151"/>
      <c r="CZ162" s="154"/>
      <c r="DA162" s="150"/>
      <c r="DB162" s="151"/>
      <c r="DC162" s="151"/>
      <c r="DD162" s="151"/>
      <c r="DE162" s="150"/>
      <c r="DF162" s="151"/>
      <c r="DG162" s="151"/>
      <c r="DH162" s="151"/>
      <c r="DI162" s="151"/>
      <c r="DJ162" s="150"/>
      <c r="DK162" s="152"/>
      <c r="DL162" s="151"/>
      <c r="DM162" s="154"/>
      <c r="DN162" s="150"/>
      <c r="DO162" s="151"/>
      <c r="DP162" s="151"/>
      <c r="DQ162" s="151"/>
      <c r="DR162" s="151"/>
      <c r="DS162" s="150"/>
      <c r="DT162" s="151"/>
      <c r="DU162" s="151"/>
      <c r="DV162" s="151"/>
      <c r="DW162" s="151"/>
      <c r="DX162" s="151"/>
      <c r="DY162" s="151"/>
      <c r="DZ162" s="151"/>
      <c r="EA162" s="150"/>
      <c r="EB162" s="151"/>
      <c r="EC162" s="151"/>
      <c r="ED162" s="151"/>
      <c r="EE162" s="152"/>
      <c r="EF162" s="150"/>
      <c r="EG162" s="151"/>
      <c r="EH162" s="151"/>
      <c r="EI162" s="151"/>
      <c r="EJ162" s="150"/>
      <c r="EK162" s="151"/>
      <c r="EL162" s="151"/>
      <c r="EM162" s="151"/>
      <c r="EN162" s="150"/>
      <c r="EO162" s="151"/>
      <c r="EP162" s="151"/>
      <c r="EQ162" s="151"/>
      <c r="ER162" s="154"/>
      <c r="ES162" s="151"/>
      <c r="ET162" s="151"/>
      <c r="EU162" s="151"/>
      <c r="EV162" s="152"/>
      <c r="EW162" s="150"/>
      <c r="EX162" s="151"/>
      <c r="EY162" s="151"/>
      <c r="EZ162" s="154"/>
      <c r="FA162" s="151"/>
      <c r="FB162" s="151"/>
      <c r="FC162" s="151"/>
      <c r="FD162" s="151"/>
      <c r="FE162" s="151"/>
      <c r="FF162" s="150"/>
      <c r="FG162" s="151"/>
      <c r="FH162" s="151"/>
      <c r="FI162" s="154"/>
      <c r="FJ162" s="151"/>
      <c r="FK162" s="152"/>
      <c r="FL162" s="151"/>
      <c r="FM162" s="151"/>
      <c r="FN162" s="150"/>
      <c r="FO162" s="151"/>
      <c r="FP162" s="151"/>
      <c r="FQ162" s="151"/>
      <c r="FR162" s="154"/>
      <c r="FS162" s="151"/>
      <c r="FT162" s="151"/>
      <c r="FU162" s="151"/>
      <c r="FV162" s="151"/>
      <c r="FW162" s="150"/>
      <c r="FX162" s="151"/>
      <c r="FY162" s="151"/>
      <c r="FZ162" s="154"/>
      <c r="GA162" s="150"/>
      <c r="GB162" s="151"/>
      <c r="GC162" s="151"/>
      <c r="GD162" s="151"/>
      <c r="GE162" s="156"/>
      <c r="GF162" s="151"/>
      <c r="GG162" s="151"/>
      <c r="GH162" s="151"/>
      <c r="GI162" s="151"/>
      <c r="GJ162" s="150"/>
      <c r="GK162" s="151"/>
      <c r="GL162" s="151"/>
      <c r="GM162" s="154"/>
      <c r="GN162" s="151"/>
      <c r="GO162" s="151"/>
      <c r="GP162" s="151"/>
      <c r="GQ162" s="151"/>
      <c r="GR162" s="151"/>
      <c r="GS162" s="150"/>
      <c r="GT162" s="151"/>
      <c r="GU162" s="151"/>
      <c r="GV162" s="154"/>
      <c r="GW162" s="151"/>
      <c r="GX162" s="151"/>
      <c r="GY162" s="151"/>
      <c r="GZ162" s="151"/>
      <c r="HA162" s="150"/>
      <c r="HB162" s="151"/>
      <c r="HC162" s="151"/>
      <c r="HD162" s="151"/>
      <c r="HE162" s="154"/>
      <c r="HF162" s="151"/>
      <c r="HG162" s="151"/>
      <c r="HH162" s="151"/>
      <c r="HI162" s="151"/>
      <c r="HJ162" s="150"/>
      <c r="HK162" s="151"/>
      <c r="HL162" s="151"/>
      <c r="HM162" s="154"/>
      <c r="HN162" s="151"/>
      <c r="HO162" s="151"/>
      <c r="HP162" s="151"/>
      <c r="HQ162" s="151"/>
      <c r="HR162" s="151"/>
      <c r="HS162" s="150"/>
      <c r="HT162" s="151"/>
      <c r="HU162" s="151"/>
      <c r="HV162" s="154"/>
      <c r="HW162" s="151"/>
      <c r="HX162" s="151"/>
      <c r="HY162" s="151"/>
      <c r="HZ162" s="151"/>
      <c r="IA162" s="150"/>
      <c r="IB162" s="151"/>
      <c r="IC162" s="151"/>
      <c r="ID162" s="151"/>
      <c r="IE162" s="152"/>
      <c r="IF162" s="150"/>
      <c r="IG162" s="151"/>
      <c r="IH162" s="151"/>
      <c r="II162" s="154"/>
      <c r="IJ162" s="151"/>
      <c r="IK162" s="151"/>
      <c r="IL162" s="151"/>
      <c r="IM162" s="151"/>
      <c r="IN162" s="150"/>
      <c r="IO162" s="151"/>
      <c r="IP162" s="151"/>
      <c r="IQ162" s="151"/>
      <c r="IR162" s="154"/>
      <c r="IS162" s="151"/>
      <c r="IT162" s="151"/>
      <c r="IU162" s="151"/>
      <c r="IV162" s="151"/>
      <c r="IW162" s="150"/>
      <c r="IX162" s="151"/>
      <c r="IY162" s="151"/>
      <c r="IZ162" s="154"/>
      <c r="JA162" s="151"/>
      <c r="JB162" s="151"/>
      <c r="JC162" s="151"/>
      <c r="JD162" s="151"/>
      <c r="JE162" s="151"/>
      <c r="JF162" s="150"/>
      <c r="JG162" s="151"/>
      <c r="JH162" s="151"/>
      <c r="JI162" s="154"/>
      <c r="JN162" s="124"/>
      <c r="JR162" s="126"/>
      <c r="JW162" s="150"/>
      <c r="JX162" s="151"/>
      <c r="JY162" s="151"/>
      <c r="JZ162" s="154"/>
      <c r="KA162" s="151"/>
      <c r="KB162" s="151"/>
      <c r="KC162" s="151"/>
      <c r="KD162" s="156"/>
      <c r="KE162" s="150"/>
      <c r="KF162" s="151"/>
      <c r="KG162" s="151"/>
      <c r="KH162" s="154"/>
    </row>
    <row r="163" spans="2:294" ht="18.600000000000001">
      <c r="B163" s="127"/>
      <c r="C163" s="244"/>
      <c r="D163" s="129"/>
      <c r="E163" s="130"/>
      <c r="F163" s="131"/>
      <c r="G163" s="131"/>
      <c r="H163" s="131"/>
      <c r="I163" s="132"/>
      <c r="J163" s="133"/>
      <c r="K163" s="131"/>
      <c r="L163" s="131"/>
      <c r="M163" s="132"/>
      <c r="N163" s="134"/>
      <c r="O163" s="131"/>
      <c r="P163" s="131"/>
      <c r="Q163" s="132"/>
      <c r="R163" s="134"/>
      <c r="S163" s="131"/>
      <c r="T163" s="131"/>
      <c r="U163" s="132"/>
      <c r="V163" s="130"/>
      <c r="W163" s="131"/>
      <c r="X163" s="131"/>
      <c r="Y163" s="131"/>
      <c r="Z163" s="132"/>
      <c r="AA163" s="134"/>
      <c r="AB163" s="131"/>
      <c r="AC163" s="131"/>
      <c r="AD163" s="132"/>
      <c r="AE163" s="134"/>
      <c r="AF163" s="131"/>
      <c r="AG163" s="131"/>
      <c r="AH163" s="132"/>
      <c r="AI163" s="134"/>
      <c r="AJ163" s="131"/>
      <c r="AK163" s="135"/>
      <c r="AL163" s="131"/>
      <c r="AM163" s="132"/>
      <c r="AN163" s="134"/>
      <c r="AO163" s="131"/>
      <c r="AP163" s="131"/>
      <c r="AQ163" s="132"/>
      <c r="AR163" s="134"/>
      <c r="AS163" s="131"/>
      <c r="AT163" s="131"/>
      <c r="AU163" s="131"/>
      <c r="AV163" s="132"/>
      <c r="AW163" s="134"/>
      <c r="AX163" s="131"/>
      <c r="AY163" s="131"/>
      <c r="AZ163" s="132"/>
      <c r="BA163" s="134"/>
      <c r="BB163" s="131"/>
      <c r="BC163" s="131"/>
      <c r="BD163" s="132"/>
      <c r="BE163" s="134"/>
      <c r="BF163" s="136"/>
      <c r="BG163" s="136"/>
      <c r="BH163" s="131"/>
      <c r="BI163" s="132"/>
      <c r="BJ163" s="133"/>
      <c r="BK163" s="135"/>
      <c r="BL163" s="131"/>
      <c r="BM163" s="136"/>
      <c r="BN163" s="134"/>
      <c r="BO163" s="131"/>
      <c r="BP163" s="131"/>
      <c r="BQ163" s="132"/>
      <c r="BR163" s="133"/>
      <c r="BS163" s="131"/>
      <c r="BT163" s="131"/>
      <c r="BU163" s="131"/>
      <c r="BV163" s="136"/>
      <c r="BW163" s="134"/>
      <c r="BX163" s="131"/>
      <c r="BY163" s="131"/>
      <c r="BZ163" s="132"/>
      <c r="CA163" s="133"/>
      <c r="CB163" s="131"/>
      <c r="CC163" s="131"/>
      <c r="CD163" s="132"/>
      <c r="CE163" s="137"/>
      <c r="CF163" s="133"/>
      <c r="CG163" s="138"/>
      <c r="CH163" s="138"/>
      <c r="CI163" s="139"/>
      <c r="CJ163" s="134"/>
      <c r="CK163" s="138"/>
      <c r="CL163" s="138"/>
      <c r="CM163" s="140"/>
      <c r="CR163" s="124"/>
      <c r="CV163" s="125"/>
      <c r="CW163" s="124"/>
      <c r="CZ163" s="126"/>
      <c r="DA163" s="124"/>
      <c r="DE163" s="124"/>
      <c r="DJ163" s="124"/>
      <c r="DK163" s="125"/>
      <c r="DM163" s="126"/>
      <c r="DN163" s="124"/>
      <c r="DS163" s="124"/>
      <c r="EA163" s="124"/>
      <c r="EE163" s="125"/>
      <c r="EF163" s="124"/>
      <c r="EJ163" s="124"/>
      <c r="EN163" s="124"/>
      <c r="ER163" s="126"/>
      <c r="EV163" s="125"/>
      <c r="EW163" s="124"/>
      <c r="EZ163" s="126"/>
      <c r="FF163" s="124"/>
      <c r="FI163" s="126"/>
      <c r="FK163" s="125"/>
      <c r="FN163" s="124"/>
      <c r="FR163" s="126"/>
      <c r="FW163" s="124"/>
      <c r="FZ163" s="126"/>
      <c r="GA163" s="124"/>
      <c r="GE163" s="141"/>
      <c r="GJ163" s="124"/>
      <c r="GM163" s="126"/>
      <c r="GS163" s="124"/>
      <c r="GV163" s="126"/>
      <c r="HA163" s="124"/>
      <c r="HE163" s="126"/>
      <c r="HJ163" s="124"/>
      <c r="HM163" s="126"/>
      <c r="HS163" s="124"/>
      <c r="HV163" s="126"/>
      <c r="IA163" s="124"/>
      <c r="IE163" s="125"/>
      <c r="IF163" s="124"/>
      <c r="II163" s="126"/>
      <c r="IN163" s="124"/>
      <c r="IR163" s="126"/>
      <c r="IW163" s="124"/>
      <c r="IZ163" s="126"/>
      <c r="JF163" s="124"/>
      <c r="JI163" s="126"/>
      <c r="JN163" s="124"/>
      <c r="JR163" s="126"/>
      <c r="JW163" s="124"/>
      <c r="JZ163" s="126"/>
      <c r="KD163" s="141"/>
      <c r="KE163" s="124"/>
      <c r="KH163" s="126"/>
    </row>
    <row r="164" spans="2:294" ht="18.600000000000001">
      <c r="B164" s="127"/>
      <c r="C164" s="323" t="s">
        <v>208</v>
      </c>
      <c r="D164" s="129" t="s">
        <v>186</v>
      </c>
      <c r="E164" s="130"/>
      <c r="F164" s="131"/>
      <c r="G164" s="131"/>
      <c r="H164" s="131"/>
      <c r="I164" s="132"/>
      <c r="J164" s="133"/>
      <c r="K164" s="131"/>
      <c r="L164" s="131"/>
      <c r="M164" s="132"/>
      <c r="N164" s="134"/>
      <c r="O164" s="131"/>
      <c r="P164" s="131"/>
      <c r="Q164" s="132"/>
      <c r="R164" s="134"/>
      <c r="S164" s="131"/>
      <c r="T164" s="131"/>
      <c r="U164" s="132"/>
      <c r="V164" s="130"/>
      <c r="W164" s="131"/>
      <c r="X164" s="131"/>
      <c r="Y164" s="131"/>
      <c r="Z164" s="132"/>
      <c r="AA164" s="134"/>
      <c r="AB164" s="131"/>
      <c r="AC164" s="131"/>
      <c r="AD164" s="132"/>
      <c r="AE164" s="134"/>
      <c r="AF164" s="131"/>
      <c r="AG164" s="131"/>
      <c r="AH164" s="132"/>
      <c r="AI164" s="134"/>
      <c r="AJ164" s="131"/>
      <c r="AK164" s="135"/>
      <c r="AL164" s="131"/>
      <c r="AM164" s="132"/>
      <c r="AN164" s="134"/>
      <c r="AO164" s="131"/>
      <c r="AP164" s="131"/>
      <c r="AQ164" s="132"/>
      <c r="AR164" s="134"/>
      <c r="AS164" s="131"/>
      <c r="AT164" s="131"/>
      <c r="AU164" s="131"/>
      <c r="AV164" s="132"/>
      <c r="AW164" s="134"/>
      <c r="AX164" s="131"/>
      <c r="AY164" s="131"/>
      <c r="AZ164" s="132"/>
      <c r="BA164" s="134"/>
      <c r="BB164" s="131"/>
      <c r="BC164" s="131"/>
      <c r="BD164" s="132"/>
      <c r="BE164" s="134"/>
      <c r="BF164" s="136"/>
      <c r="BG164" s="136"/>
      <c r="BH164" s="131"/>
      <c r="BI164" s="132"/>
      <c r="BJ164" s="133"/>
      <c r="BK164" s="135"/>
      <c r="BL164" s="131"/>
      <c r="BM164" s="136"/>
      <c r="BN164" s="134"/>
      <c r="BO164" s="131"/>
      <c r="BP164" s="131"/>
      <c r="BQ164" s="132"/>
      <c r="BR164" s="133"/>
      <c r="BS164" s="131"/>
      <c r="BT164" s="131"/>
      <c r="BU164" s="131"/>
      <c r="BV164" s="136"/>
      <c r="BW164" s="134"/>
      <c r="BX164" s="131"/>
      <c r="BY164" s="131"/>
      <c r="BZ164" s="132"/>
      <c r="CA164" s="133"/>
      <c r="CB164" s="131"/>
      <c r="CC164" s="131"/>
      <c r="CD164" s="132"/>
      <c r="CE164" s="137"/>
      <c r="CF164" s="133"/>
      <c r="CG164" s="138"/>
      <c r="CH164" s="138"/>
      <c r="CI164" s="139"/>
      <c r="CJ164" s="134"/>
      <c r="CK164" s="138"/>
      <c r="CL164" s="138"/>
      <c r="CM164" s="140"/>
      <c r="CR164" s="124"/>
      <c r="CV164" s="125"/>
      <c r="CW164" s="124"/>
      <c r="CZ164" s="126"/>
      <c r="DA164" s="124"/>
      <c r="DE164" s="124"/>
      <c r="DJ164" s="124"/>
      <c r="DK164" s="125"/>
      <c r="DM164" s="126"/>
      <c r="DN164" s="124"/>
      <c r="DS164" s="124"/>
      <c r="EA164" s="124"/>
      <c r="EE164" s="125"/>
      <c r="EF164" s="124"/>
      <c r="EJ164" s="124"/>
      <c r="EN164" s="124"/>
      <c r="ER164" s="126"/>
      <c r="EV164" s="125"/>
      <c r="EW164" s="124"/>
      <c r="EZ164" s="126"/>
      <c r="FF164" s="124"/>
      <c r="FI164" s="126"/>
      <c r="FK164" s="125"/>
      <c r="FN164" s="124"/>
      <c r="FR164" s="126"/>
      <c r="FW164" s="124"/>
      <c r="FZ164" s="126"/>
      <c r="GA164" s="124"/>
      <c r="GE164" s="141"/>
      <c r="GJ164" s="124"/>
      <c r="GM164" s="126"/>
      <c r="GS164" s="124"/>
      <c r="GV164" s="126"/>
      <c r="HA164" s="124"/>
      <c r="HE164" s="126"/>
      <c r="HJ164" s="124"/>
      <c r="HM164" s="126"/>
      <c r="HS164" s="124"/>
      <c r="HV164" s="126"/>
      <c r="IA164" s="124"/>
      <c r="IE164" s="125"/>
      <c r="IF164" s="124"/>
      <c r="II164" s="126"/>
      <c r="IN164" s="124"/>
      <c r="IR164" s="126"/>
      <c r="IW164" s="124"/>
      <c r="IZ164" s="126"/>
      <c r="JF164" s="124"/>
      <c r="JI164" s="126"/>
      <c r="JN164" s="124"/>
      <c r="JR164" s="126"/>
      <c r="JW164" s="124"/>
      <c r="JZ164" s="126"/>
      <c r="KD164" s="141"/>
      <c r="KE164" s="124"/>
      <c r="KH164" s="126"/>
    </row>
    <row r="165" spans="2:294" ht="18.600000000000001">
      <c r="B165" s="127"/>
      <c r="C165" s="244" t="s">
        <v>403</v>
      </c>
      <c r="D165" s="129" t="s">
        <v>192</v>
      </c>
      <c r="E165" s="130"/>
      <c r="F165" s="131"/>
      <c r="G165" s="131"/>
      <c r="H165" s="131"/>
      <c r="I165" s="132"/>
      <c r="J165" s="133"/>
      <c r="K165" s="131"/>
      <c r="L165" s="131"/>
      <c r="M165" s="132"/>
      <c r="N165" s="134"/>
      <c r="O165" s="131"/>
      <c r="P165" s="131"/>
      <c r="Q165" s="132"/>
      <c r="R165" s="134"/>
      <c r="S165" s="131"/>
      <c r="T165" s="131"/>
      <c r="U165" s="132"/>
      <c r="V165" s="130"/>
      <c r="W165" s="131"/>
      <c r="X165" s="131"/>
      <c r="Y165" s="131"/>
      <c r="Z165" s="132"/>
      <c r="AA165" s="134"/>
      <c r="AB165" s="131"/>
      <c r="AC165" s="131"/>
      <c r="AD165" s="132"/>
      <c r="AE165" s="134"/>
      <c r="AF165" s="131"/>
      <c r="AG165" s="131"/>
      <c r="AH165" s="132"/>
      <c r="AI165" s="134"/>
      <c r="AJ165" s="131"/>
      <c r="AK165" s="135"/>
      <c r="AL165" s="131"/>
      <c r="AM165" s="132"/>
      <c r="AN165" s="134"/>
      <c r="AO165" s="131"/>
      <c r="AP165" s="131"/>
      <c r="AQ165" s="132"/>
      <c r="AR165" s="134"/>
      <c r="AS165" s="131"/>
      <c r="AT165" s="131"/>
      <c r="AU165" s="131"/>
      <c r="AV165" s="132"/>
      <c r="AW165" s="134"/>
      <c r="AX165" s="131"/>
      <c r="AY165" s="131"/>
      <c r="AZ165" s="132"/>
      <c r="BA165" s="134"/>
      <c r="BB165" s="131"/>
      <c r="BC165" s="131"/>
      <c r="BD165" s="132"/>
      <c r="BE165" s="134"/>
      <c r="BF165" s="136"/>
      <c r="BG165" s="136"/>
      <c r="BH165" s="131"/>
      <c r="BI165" s="132"/>
      <c r="BJ165" s="133"/>
      <c r="BK165" s="135"/>
      <c r="BL165" s="131"/>
      <c r="BM165" s="136"/>
      <c r="BN165" s="134"/>
      <c r="BO165" s="131"/>
      <c r="BP165" s="131"/>
      <c r="BQ165" s="132"/>
      <c r="BR165" s="133"/>
      <c r="BS165" s="131"/>
      <c r="BT165" s="131"/>
      <c r="BU165" s="131"/>
      <c r="BV165" s="136"/>
      <c r="BW165" s="134"/>
      <c r="BX165" s="131"/>
      <c r="BY165" s="131"/>
      <c r="BZ165" s="132"/>
      <c r="CA165" s="133"/>
      <c r="CB165" s="131"/>
      <c r="CC165" s="131"/>
      <c r="CD165" s="132"/>
      <c r="CE165" s="137"/>
      <c r="CF165" s="133"/>
      <c r="CG165" s="138"/>
      <c r="CH165" s="138"/>
      <c r="CI165" s="139"/>
      <c r="CJ165" s="134"/>
      <c r="CK165" s="138"/>
      <c r="CL165" s="138"/>
      <c r="CM165" s="140"/>
      <c r="CR165" s="124"/>
      <c r="CV165" s="125"/>
      <c r="CW165" s="124"/>
      <c r="CZ165" s="126"/>
      <c r="DA165" s="124"/>
      <c r="DE165" s="124"/>
      <c r="DJ165" s="124"/>
      <c r="DK165" s="125"/>
      <c r="DM165" s="126"/>
      <c r="DN165" s="124"/>
      <c r="DS165" s="124"/>
      <c r="EA165" s="124"/>
      <c r="EE165" s="125"/>
      <c r="EF165" s="124"/>
      <c r="EJ165" s="124"/>
      <c r="EN165" s="124"/>
      <c r="ER165" s="126"/>
      <c r="EV165" s="125"/>
      <c r="EW165" s="124"/>
      <c r="EZ165" s="126"/>
      <c r="FF165" s="124"/>
      <c r="FI165" s="126"/>
      <c r="FK165" s="125"/>
      <c r="FN165" s="124"/>
      <c r="FR165" s="126"/>
      <c r="FW165" s="124"/>
      <c r="FZ165" s="126"/>
      <c r="GA165" s="124"/>
      <c r="GE165" s="141"/>
      <c r="GJ165" s="124"/>
      <c r="GM165" s="126"/>
      <c r="GS165" s="124"/>
      <c r="GV165" s="126"/>
      <c r="HA165" s="124"/>
      <c r="HE165" s="126"/>
      <c r="HJ165" s="124"/>
      <c r="HM165" s="126"/>
      <c r="HS165" s="124"/>
      <c r="HV165" s="126"/>
      <c r="IA165" s="124"/>
      <c r="IE165" s="125"/>
      <c r="IF165" s="124"/>
      <c r="II165" s="126"/>
      <c r="IN165" s="124"/>
      <c r="IR165" s="126"/>
      <c r="IW165" s="124"/>
      <c r="IZ165" s="126"/>
      <c r="JF165" s="124"/>
      <c r="JI165" s="126"/>
      <c r="JN165" s="124"/>
      <c r="JR165" s="126"/>
      <c r="JW165" s="124"/>
      <c r="JZ165" s="126"/>
      <c r="KD165" s="141"/>
      <c r="KE165" s="124"/>
      <c r="KH165" s="126"/>
    </row>
    <row r="166" spans="2:294" ht="18.600000000000001">
      <c r="B166" s="127"/>
      <c r="C166" s="244"/>
      <c r="D166" s="129"/>
      <c r="E166" s="130"/>
      <c r="F166" s="131"/>
      <c r="G166" s="131"/>
      <c r="H166" s="131"/>
      <c r="I166" s="132"/>
      <c r="J166" s="133"/>
      <c r="K166" s="131"/>
      <c r="L166" s="131"/>
      <c r="M166" s="132"/>
      <c r="N166" s="134"/>
      <c r="O166" s="131"/>
      <c r="P166" s="131"/>
      <c r="Q166" s="132"/>
      <c r="R166" s="134"/>
      <c r="S166" s="131"/>
      <c r="T166" s="131"/>
      <c r="U166" s="132"/>
      <c r="V166" s="130"/>
      <c r="W166" s="131"/>
      <c r="X166" s="131"/>
      <c r="Y166" s="131"/>
      <c r="Z166" s="132"/>
      <c r="AA166" s="134"/>
      <c r="AB166" s="131"/>
      <c r="AC166" s="131"/>
      <c r="AD166" s="132"/>
      <c r="AE166" s="134"/>
      <c r="AF166" s="131"/>
      <c r="AG166" s="131"/>
      <c r="AH166" s="132"/>
      <c r="AI166" s="134"/>
      <c r="AJ166" s="131"/>
      <c r="AK166" s="135"/>
      <c r="AL166" s="131"/>
      <c r="AM166" s="132"/>
      <c r="AN166" s="134"/>
      <c r="AO166" s="131"/>
      <c r="AP166" s="131"/>
      <c r="AQ166" s="132"/>
      <c r="AR166" s="134"/>
      <c r="AS166" s="131"/>
      <c r="AT166" s="131"/>
      <c r="AU166" s="131"/>
      <c r="AV166" s="132"/>
      <c r="AW166" s="134"/>
      <c r="AX166" s="131"/>
      <c r="AY166" s="131"/>
      <c r="AZ166" s="132"/>
      <c r="BA166" s="134"/>
      <c r="BB166" s="131"/>
      <c r="BC166" s="131"/>
      <c r="BD166" s="132"/>
      <c r="BE166" s="134"/>
      <c r="BF166" s="136"/>
      <c r="BG166" s="136"/>
      <c r="BH166" s="131"/>
      <c r="BI166" s="132"/>
      <c r="BJ166" s="133"/>
      <c r="BK166" s="135"/>
      <c r="BL166" s="131"/>
      <c r="BM166" s="136"/>
      <c r="BN166" s="134"/>
      <c r="BO166" s="131"/>
      <c r="BP166" s="131"/>
      <c r="BQ166" s="132"/>
      <c r="BR166" s="133"/>
      <c r="BS166" s="131"/>
      <c r="BT166" s="131"/>
      <c r="BU166" s="131"/>
      <c r="BV166" s="136"/>
      <c r="BW166" s="134"/>
      <c r="BX166" s="131"/>
      <c r="BY166" s="131"/>
      <c r="BZ166" s="132"/>
      <c r="CA166" s="133"/>
      <c r="CB166" s="131"/>
      <c r="CC166" s="131"/>
      <c r="CD166" s="132"/>
      <c r="CE166" s="137"/>
      <c r="CF166" s="133"/>
      <c r="CG166" s="138"/>
      <c r="CH166" s="138"/>
      <c r="CI166" s="139"/>
      <c r="CJ166" s="134"/>
      <c r="CK166" s="138"/>
      <c r="CL166" s="138"/>
      <c r="CM166" s="140"/>
      <c r="CR166" s="124"/>
      <c r="CV166" s="125"/>
      <c r="CW166" s="124"/>
      <c r="CZ166" s="126"/>
      <c r="DA166" s="124"/>
      <c r="DE166" s="124"/>
      <c r="DJ166" s="124"/>
      <c r="DK166" s="125"/>
      <c r="DM166" s="126"/>
      <c r="DN166" s="124"/>
      <c r="DS166" s="124"/>
      <c r="EA166" s="124"/>
      <c r="EE166" s="125"/>
      <c r="EF166" s="124"/>
      <c r="EJ166" s="124"/>
      <c r="EN166" s="124"/>
      <c r="ER166" s="126"/>
      <c r="EV166" s="125"/>
      <c r="EW166" s="124"/>
      <c r="EZ166" s="126"/>
      <c r="FF166" s="124"/>
      <c r="FI166" s="126"/>
      <c r="FK166" s="125"/>
      <c r="FN166" s="124"/>
      <c r="FR166" s="126"/>
      <c r="FW166" s="124"/>
      <c r="FZ166" s="126"/>
      <c r="GA166" s="124"/>
      <c r="GE166" s="141"/>
      <c r="GJ166" s="124"/>
      <c r="GM166" s="126"/>
      <c r="GS166" s="124"/>
      <c r="GV166" s="126"/>
      <c r="HA166" s="124"/>
      <c r="HE166" s="126"/>
      <c r="HJ166" s="124"/>
      <c r="HM166" s="126"/>
      <c r="HS166" s="124"/>
      <c r="HV166" s="126"/>
      <c r="IA166" s="124"/>
      <c r="IE166" s="125"/>
      <c r="IF166" s="124"/>
      <c r="II166" s="126"/>
      <c r="IN166" s="124"/>
      <c r="IR166" s="126"/>
      <c r="IW166" s="124"/>
      <c r="IZ166" s="126"/>
      <c r="JF166" s="124"/>
      <c r="JI166" s="126"/>
      <c r="JN166" s="124"/>
      <c r="JR166" s="126"/>
      <c r="JW166" s="124"/>
      <c r="JZ166" s="126"/>
      <c r="KD166" s="141"/>
      <c r="KE166" s="124"/>
      <c r="KH166" s="126"/>
    </row>
    <row r="167" spans="2:294" ht="19.2" thickBot="1">
      <c r="B167" s="127"/>
      <c r="C167" s="249"/>
      <c r="D167" s="158"/>
      <c r="E167" s="159"/>
      <c r="F167" s="160"/>
      <c r="G167" s="160"/>
      <c r="H167" s="160"/>
      <c r="I167" s="161"/>
      <c r="J167" s="162"/>
      <c r="K167" s="160"/>
      <c r="L167" s="160"/>
      <c r="M167" s="161"/>
      <c r="N167" s="163"/>
      <c r="O167" s="160"/>
      <c r="P167" s="160"/>
      <c r="Q167" s="161"/>
      <c r="R167" s="163"/>
      <c r="S167" s="160"/>
      <c r="T167" s="160"/>
      <c r="U167" s="161"/>
      <c r="V167" s="159"/>
      <c r="W167" s="160"/>
      <c r="X167" s="160"/>
      <c r="Y167" s="160"/>
      <c r="Z167" s="161"/>
      <c r="AA167" s="163"/>
      <c r="AB167" s="160"/>
      <c r="AC167" s="160"/>
      <c r="AD167" s="161"/>
      <c r="AE167" s="163"/>
      <c r="AF167" s="160"/>
      <c r="AG167" s="160"/>
      <c r="AH167" s="161"/>
      <c r="AI167" s="163"/>
      <c r="AJ167" s="160"/>
      <c r="AK167" s="164"/>
      <c r="AL167" s="160"/>
      <c r="AM167" s="161"/>
      <c r="AN167" s="163"/>
      <c r="AO167" s="160"/>
      <c r="AP167" s="160"/>
      <c r="AQ167" s="161"/>
      <c r="AR167" s="163"/>
      <c r="AS167" s="160"/>
      <c r="AT167" s="160"/>
      <c r="AU167" s="160"/>
      <c r="AV167" s="161"/>
      <c r="AW167" s="163"/>
      <c r="AX167" s="160"/>
      <c r="AY167" s="160"/>
      <c r="AZ167" s="161"/>
      <c r="BA167" s="163"/>
      <c r="BB167" s="160"/>
      <c r="BC167" s="160"/>
      <c r="BD167" s="161"/>
      <c r="BE167" s="163"/>
      <c r="BF167" s="165"/>
      <c r="BG167" s="165"/>
      <c r="BH167" s="160"/>
      <c r="BI167" s="161"/>
      <c r="BJ167" s="162"/>
      <c r="BK167" s="164"/>
      <c r="BL167" s="160"/>
      <c r="BM167" s="165"/>
      <c r="BN167" s="163"/>
      <c r="BO167" s="160"/>
      <c r="BP167" s="160"/>
      <c r="BQ167" s="161"/>
      <c r="BR167" s="162"/>
      <c r="BS167" s="160"/>
      <c r="BT167" s="160"/>
      <c r="BU167" s="160"/>
      <c r="BV167" s="165"/>
      <c r="BW167" s="163"/>
      <c r="BX167" s="160"/>
      <c r="BY167" s="160"/>
      <c r="BZ167" s="161"/>
      <c r="CA167" s="162"/>
      <c r="CB167" s="160"/>
      <c r="CC167" s="160"/>
      <c r="CD167" s="161"/>
      <c r="CE167" s="166"/>
      <c r="CF167" s="162"/>
      <c r="CG167" s="167"/>
      <c r="CH167" s="167"/>
      <c r="CI167" s="168"/>
      <c r="CJ167" s="163"/>
      <c r="CK167" s="167"/>
      <c r="CL167" s="167"/>
      <c r="CM167" s="169"/>
      <c r="CN167" s="145"/>
      <c r="CO167" s="145"/>
      <c r="CP167" s="145"/>
      <c r="CQ167" s="145"/>
      <c r="CR167" s="146"/>
      <c r="CS167" s="145"/>
      <c r="CT167" s="145"/>
      <c r="CU167" s="145"/>
      <c r="CV167" s="147"/>
      <c r="CW167" s="146"/>
      <c r="CX167" s="145"/>
      <c r="CY167" s="145"/>
      <c r="CZ167" s="148"/>
      <c r="DA167" s="146"/>
      <c r="DB167" s="145"/>
      <c r="DC167" s="145"/>
      <c r="DD167" s="145"/>
      <c r="DE167" s="146"/>
      <c r="DF167" s="145"/>
      <c r="DG167" s="145"/>
      <c r="DH167" s="145"/>
      <c r="DI167" s="145"/>
      <c r="DJ167" s="146"/>
      <c r="DK167" s="147"/>
      <c r="DL167" s="145"/>
      <c r="DM167" s="148"/>
      <c r="DN167" s="146"/>
      <c r="DO167" s="145"/>
      <c r="DP167" s="145"/>
      <c r="DQ167" s="145"/>
      <c r="DR167" s="145"/>
      <c r="DS167" s="146"/>
      <c r="DT167" s="145"/>
      <c r="DU167" s="145"/>
      <c r="DV167" s="145"/>
      <c r="DW167" s="145"/>
      <c r="DX167" s="145"/>
      <c r="DY167" s="145"/>
      <c r="DZ167" s="145"/>
      <c r="EA167" s="146"/>
      <c r="EB167" s="145"/>
      <c r="EC167" s="145"/>
      <c r="ED167" s="145"/>
      <c r="EE167" s="147"/>
      <c r="EF167" s="146"/>
      <c r="EG167" s="145"/>
      <c r="EH167" s="145"/>
      <c r="EI167" s="145"/>
      <c r="EJ167" s="146"/>
      <c r="EK167" s="145"/>
      <c r="EL167" s="145"/>
      <c r="EM167" s="145"/>
      <c r="EN167" s="146"/>
      <c r="EO167" s="145"/>
      <c r="EP167" s="145"/>
      <c r="EQ167" s="145"/>
      <c r="ER167" s="148"/>
      <c r="ES167" s="145"/>
      <c r="ET167" s="145"/>
      <c r="EU167" s="145"/>
      <c r="EV167" s="147"/>
      <c r="EW167" s="146"/>
      <c r="EX167" s="145"/>
      <c r="EY167" s="145"/>
      <c r="EZ167" s="148"/>
      <c r="FA167" s="145"/>
      <c r="FB167" s="145"/>
      <c r="FC167" s="145"/>
      <c r="FD167" s="145"/>
      <c r="FF167" s="124"/>
      <c r="FI167" s="126"/>
      <c r="FK167" s="125"/>
      <c r="FN167" s="124"/>
      <c r="FR167" s="126"/>
      <c r="FW167" s="124"/>
      <c r="FZ167" s="126"/>
      <c r="GA167" s="124"/>
      <c r="GE167" s="141"/>
      <c r="GJ167" s="124"/>
      <c r="GM167" s="126"/>
      <c r="GS167" s="124"/>
      <c r="GV167" s="126"/>
      <c r="HA167" s="124"/>
      <c r="HE167" s="126"/>
      <c r="HJ167" s="124"/>
      <c r="HM167" s="126"/>
      <c r="HS167" s="124"/>
      <c r="HV167" s="126"/>
      <c r="IA167" s="124"/>
      <c r="IE167" s="125"/>
      <c r="IF167" s="146"/>
      <c r="IG167" s="145"/>
      <c r="IH167" s="145"/>
      <c r="II167" s="148"/>
      <c r="IJ167" s="145"/>
      <c r="IK167" s="145"/>
      <c r="IL167" s="145"/>
      <c r="IM167" s="145"/>
      <c r="IN167" s="146"/>
      <c r="IO167" s="145"/>
      <c r="IP167" s="145"/>
      <c r="IQ167" s="145"/>
      <c r="IR167" s="148"/>
      <c r="IS167" s="145"/>
      <c r="IT167" s="145"/>
      <c r="IU167" s="145"/>
      <c r="IV167" s="145"/>
      <c r="IW167" s="146"/>
      <c r="IX167" s="145"/>
      <c r="IY167" s="145"/>
      <c r="IZ167" s="148"/>
      <c r="JA167" s="145"/>
      <c r="JB167" s="145"/>
      <c r="JC167" s="145"/>
      <c r="JD167" s="145"/>
      <c r="JE167" s="145"/>
      <c r="JF167" s="146"/>
      <c r="JG167" s="145"/>
      <c r="JH167" s="145"/>
      <c r="JI167" s="148"/>
      <c r="JJ167" s="145"/>
      <c r="JK167" s="145"/>
      <c r="JL167" s="145"/>
      <c r="JM167" s="145"/>
      <c r="JN167" s="146"/>
      <c r="JO167" s="145"/>
      <c r="JP167" s="145"/>
      <c r="JQ167" s="145"/>
      <c r="JR167" s="148"/>
      <c r="JS167" s="145"/>
      <c r="JT167" s="145"/>
      <c r="JU167" s="145"/>
      <c r="JV167" s="145"/>
      <c r="JW167" s="146"/>
      <c r="JX167" s="145"/>
      <c r="JY167" s="145"/>
      <c r="JZ167" s="148"/>
      <c r="KA167" s="145"/>
      <c r="KB167" s="145"/>
      <c r="KC167" s="145"/>
      <c r="KD167" s="149"/>
      <c r="KE167" s="146"/>
      <c r="KF167" s="145"/>
      <c r="KG167" s="145"/>
      <c r="KH167" s="148"/>
    </row>
    <row r="168" spans="2:294" ht="19.2" thickTop="1">
      <c r="B168" s="127"/>
      <c r="C168" s="254"/>
      <c r="D168" s="179"/>
      <c r="E168" s="180"/>
      <c r="F168" s="181"/>
      <c r="G168" s="181"/>
      <c r="H168" s="181"/>
      <c r="I168" s="182"/>
      <c r="J168" s="183"/>
      <c r="K168" s="181"/>
      <c r="L168" s="181"/>
      <c r="M168" s="182"/>
      <c r="N168" s="184"/>
      <c r="O168" s="181"/>
      <c r="P168" s="181"/>
      <c r="Q168" s="182"/>
      <c r="R168" s="184"/>
      <c r="S168" s="181"/>
      <c r="T168" s="181"/>
      <c r="U168" s="182"/>
      <c r="V168" s="180"/>
      <c r="W168" s="181"/>
      <c r="X168" s="181"/>
      <c r="Y168" s="181"/>
      <c r="Z168" s="182"/>
      <c r="AA168" s="184"/>
      <c r="AB168" s="181"/>
      <c r="AC168" s="181"/>
      <c r="AD168" s="182"/>
      <c r="AE168" s="184"/>
      <c r="AF168" s="181"/>
      <c r="AG168" s="181"/>
      <c r="AH168" s="182"/>
      <c r="AI168" s="184"/>
      <c r="AJ168" s="181"/>
      <c r="AK168" s="185"/>
      <c r="AL168" s="181"/>
      <c r="AM168" s="182"/>
      <c r="AN168" s="184"/>
      <c r="AO168" s="181"/>
      <c r="AP168" s="181"/>
      <c r="AQ168" s="182"/>
      <c r="AR168" s="184"/>
      <c r="AS168" s="181"/>
      <c r="AT168" s="181"/>
      <c r="AU168" s="181"/>
      <c r="AV168" s="182"/>
      <c r="AW168" s="184"/>
      <c r="AX168" s="181"/>
      <c r="AY168" s="181"/>
      <c r="AZ168" s="182"/>
      <c r="BA168" s="184"/>
      <c r="BB168" s="181"/>
      <c r="BC168" s="181"/>
      <c r="BD168" s="182"/>
      <c r="BE168" s="184"/>
      <c r="BF168" s="186"/>
      <c r="BG168" s="186"/>
      <c r="BH168" s="181"/>
      <c r="BI168" s="182"/>
      <c r="BJ168" s="183"/>
      <c r="BK168" s="185"/>
      <c r="BL168" s="181"/>
      <c r="BM168" s="186"/>
      <c r="BN168" s="184"/>
      <c r="BO168" s="181"/>
      <c r="BP168" s="181"/>
      <c r="BQ168" s="182"/>
      <c r="BR168" s="183"/>
      <c r="BS168" s="181"/>
      <c r="BT168" s="181"/>
      <c r="BU168" s="181"/>
      <c r="BV168" s="186"/>
      <c r="BW168" s="184"/>
      <c r="BX168" s="181"/>
      <c r="BY168" s="181"/>
      <c r="BZ168" s="182"/>
      <c r="CA168" s="183"/>
      <c r="CB168" s="181"/>
      <c r="CC168" s="181"/>
      <c r="CD168" s="182"/>
      <c r="CE168" s="187"/>
      <c r="CF168" s="183"/>
      <c r="CG168" s="188"/>
      <c r="CH168" s="188"/>
      <c r="CI168" s="189"/>
      <c r="CJ168" s="184"/>
      <c r="CK168" s="188"/>
      <c r="CL168" s="188"/>
      <c r="CM168" s="190"/>
      <c r="CN168" s="151"/>
      <c r="CO168" s="151"/>
      <c r="CP168" s="151"/>
      <c r="CQ168" s="151"/>
      <c r="CR168" s="150"/>
      <c r="CS168" s="151"/>
      <c r="CT168" s="151"/>
      <c r="CU168" s="151"/>
      <c r="CV168" s="152"/>
      <c r="CW168" s="150"/>
      <c r="CX168" s="151"/>
      <c r="CY168" s="151"/>
      <c r="CZ168" s="154"/>
      <c r="DA168" s="150"/>
      <c r="DB168" s="151"/>
      <c r="DC168" s="151"/>
      <c r="DD168" s="151"/>
      <c r="DE168" s="150"/>
      <c r="DF168" s="151"/>
      <c r="DG168" s="151"/>
      <c r="DH168" s="151"/>
      <c r="DI168" s="151"/>
      <c r="DJ168" s="150"/>
      <c r="DK168" s="152"/>
      <c r="DL168" s="151"/>
      <c r="DM168" s="154"/>
      <c r="DN168" s="150"/>
      <c r="DO168" s="151"/>
      <c r="DP168" s="151"/>
      <c r="DQ168" s="151"/>
      <c r="DR168" s="151"/>
      <c r="DS168" s="150"/>
      <c r="DT168" s="151"/>
      <c r="DU168" s="151"/>
      <c r="DV168" s="151"/>
      <c r="DW168" s="151"/>
      <c r="DX168" s="151"/>
      <c r="DY168" s="151"/>
      <c r="DZ168" s="151"/>
      <c r="EA168" s="150"/>
      <c r="EB168" s="151"/>
      <c r="EC168" s="151"/>
      <c r="ED168" s="151"/>
      <c r="EE168" s="152"/>
      <c r="EF168" s="150"/>
      <c r="EG168" s="151"/>
      <c r="EH168" s="151"/>
      <c r="EI168" s="151"/>
      <c r="EJ168" s="150"/>
      <c r="EK168" s="151"/>
      <c r="EL168" s="151"/>
      <c r="EM168" s="151"/>
      <c r="EN168" s="150"/>
      <c r="EO168" s="151"/>
      <c r="EP168" s="151"/>
      <c r="EQ168" s="151"/>
      <c r="ER168" s="154"/>
      <c r="ES168" s="151"/>
      <c r="ET168" s="151"/>
      <c r="EU168" s="151"/>
      <c r="EV168" s="152"/>
      <c r="EW168" s="150"/>
      <c r="EX168" s="151"/>
      <c r="EY168" s="151"/>
      <c r="EZ168" s="154"/>
      <c r="FA168" s="151"/>
      <c r="FB168" s="151"/>
      <c r="FC168" s="151"/>
      <c r="FD168" s="151"/>
      <c r="FE168" s="151"/>
      <c r="FF168" s="150"/>
      <c r="FG168" s="151"/>
      <c r="FH168" s="151"/>
      <c r="FI168" s="154"/>
      <c r="FJ168" s="151"/>
      <c r="FK168" s="152"/>
      <c r="FL168" s="151"/>
      <c r="FM168" s="151"/>
      <c r="FN168" s="150"/>
      <c r="FO168" s="151"/>
      <c r="FP168" s="151"/>
      <c r="FQ168" s="151"/>
      <c r="FR168" s="154"/>
      <c r="FS168" s="151"/>
      <c r="FT168" s="151"/>
      <c r="FU168" s="151"/>
      <c r="FV168" s="151"/>
      <c r="FW168" s="150"/>
      <c r="FX168" s="151"/>
      <c r="FY168" s="151"/>
      <c r="FZ168" s="154"/>
      <c r="GA168" s="150"/>
      <c r="GB168" s="151"/>
      <c r="GC168" s="151"/>
      <c r="GD168" s="151"/>
      <c r="GE168" s="156"/>
      <c r="GF168" s="151"/>
      <c r="GG168" s="151"/>
      <c r="GH168" s="151"/>
      <c r="GI168" s="151"/>
      <c r="GJ168" s="150"/>
      <c r="GK168" s="151"/>
      <c r="GL168" s="151"/>
      <c r="GM168" s="154"/>
      <c r="GN168" s="151"/>
      <c r="GO168" s="151"/>
      <c r="GP168" s="151"/>
      <c r="GQ168" s="151"/>
      <c r="GR168" s="151"/>
      <c r="GS168" s="150"/>
      <c r="GT168" s="151"/>
      <c r="GU168" s="151"/>
      <c r="GV168" s="154"/>
      <c r="GW168" s="151"/>
      <c r="GX168" s="151"/>
      <c r="GY168" s="151"/>
      <c r="GZ168" s="151"/>
      <c r="HA168" s="150"/>
      <c r="HB168" s="151"/>
      <c r="HC168" s="151"/>
      <c r="HD168" s="151"/>
      <c r="HE168" s="154"/>
      <c r="HF168" s="151"/>
      <c r="HG168" s="151"/>
      <c r="HH168" s="151"/>
      <c r="HI168" s="151"/>
      <c r="HJ168" s="150"/>
      <c r="HK168" s="151"/>
      <c r="HL168" s="151"/>
      <c r="HM168" s="154"/>
      <c r="HN168" s="151"/>
      <c r="HO168" s="151"/>
      <c r="HP168" s="151"/>
      <c r="HQ168" s="151"/>
      <c r="HR168" s="151"/>
      <c r="HS168" s="150"/>
      <c r="HT168" s="151"/>
      <c r="HU168" s="151"/>
      <c r="HV168" s="154"/>
      <c r="HW168" s="151"/>
      <c r="HX168" s="151"/>
      <c r="HY168" s="151"/>
      <c r="HZ168" s="151"/>
      <c r="IA168" s="150"/>
      <c r="IB168" s="151"/>
      <c r="IC168" s="151"/>
      <c r="ID168" s="151"/>
      <c r="IE168" s="152"/>
      <c r="IF168" s="124"/>
      <c r="II168" s="126"/>
      <c r="IN168" s="124"/>
      <c r="IR168" s="126"/>
      <c r="IW168" s="124"/>
      <c r="IZ168" s="126"/>
      <c r="JF168" s="124"/>
      <c r="JI168" s="126"/>
      <c r="JN168" s="124"/>
      <c r="JR168" s="126"/>
      <c r="JW168" s="150"/>
      <c r="JX168" s="151"/>
      <c r="JY168" s="151"/>
      <c r="JZ168" s="154"/>
      <c r="KA168" s="151"/>
      <c r="KB168" s="151"/>
      <c r="KC168" s="151"/>
      <c r="KD168" s="156"/>
      <c r="KE168" s="150"/>
      <c r="KF168" s="151"/>
      <c r="KG168" s="151"/>
      <c r="KH168" s="154"/>
    </row>
    <row r="169" spans="2:294" ht="18.600000000000001">
      <c r="B169" s="127"/>
      <c r="C169" s="244"/>
      <c r="D169" s="129"/>
      <c r="E169" s="130"/>
      <c r="F169" s="131"/>
      <c r="G169" s="131"/>
      <c r="H169" s="131"/>
      <c r="I169" s="132"/>
      <c r="J169" s="133"/>
      <c r="K169" s="131"/>
      <c r="L169" s="131"/>
      <c r="M169" s="132"/>
      <c r="N169" s="134"/>
      <c r="O169" s="131"/>
      <c r="P169" s="131"/>
      <c r="Q169" s="132"/>
      <c r="R169" s="134"/>
      <c r="S169" s="131"/>
      <c r="T169" s="131"/>
      <c r="U169" s="132"/>
      <c r="V169" s="130"/>
      <c r="W169" s="131"/>
      <c r="X169" s="131"/>
      <c r="Y169" s="131"/>
      <c r="Z169" s="132"/>
      <c r="AA169" s="134"/>
      <c r="AB169" s="131"/>
      <c r="AC169" s="131"/>
      <c r="AD169" s="132"/>
      <c r="AE169" s="134"/>
      <c r="AF169" s="131"/>
      <c r="AG169" s="131"/>
      <c r="AH169" s="132"/>
      <c r="AI169" s="134"/>
      <c r="AJ169" s="131"/>
      <c r="AK169" s="135"/>
      <c r="AL169" s="131"/>
      <c r="AM169" s="132"/>
      <c r="AN169" s="134"/>
      <c r="AO169" s="131"/>
      <c r="AP169" s="131"/>
      <c r="AQ169" s="132"/>
      <c r="AR169" s="134"/>
      <c r="AS169" s="131"/>
      <c r="AT169" s="131"/>
      <c r="AU169" s="131"/>
      <c r="AV169" s="132"/>
      <c r="AW169" s="134"/>
      <c r="AX169" s="131"/>
      <c r="AY169" s="131"/>
      <c r="AZ169" s="132"/>
      <c r="BA169" s="134"/>
      <c r="BB169" s="131"/>
      <c r="BC169" s="131"/>
      <c r="BD169" s="132"/>
      <c r="BE169" s="134"/>
      <c r="BF169" s="136"/>
      <c r="BG169" s="136"/>
      <c r="BH169" s="131"/>
      <c r="BI169" s="132"/>
      <c r="BJ169" s="133"/>
      <c r="BK169" s="135"/>
      <c r="BL169" s="131"/>
      <c r="BM169" s="136"/>
      <c r="BN169" s="134"/>
      <c r="BO169" s="131"/>
      <c r="BP169" s="131"/>
      <c r="BQ169" s="132"/>
      <c r="BR169" s="133"/>
      <c r="BS169" s="131"/>
      <c r="BT169" s="131"/>
      <c r="BU169" s="131"/>
      <c r="BV169" s="136"/>
      <c r="BW169" s="134"/>
      <c r="BX169" s="131"/>
      <c r="BY169" s="131"/>
      <c r="BZ169" s="132"/>
      <c r="CA169" s="133"/>
      <c r="CB169" s="131"/>
      <c r="CC169" s="131"/>
      <c r="CD169" s="132"/>
      <c r="CE169" s="137"/>
      <c r="CF169" s="133"/>
      <c r="CG169" s="138"/>
      <c r="CH169" s="138"/>
      <c r="CI169" s="139"/>
      <c r="CJ169" s="134"/>
      <c r="CK169" s="138"/>
      <c r="CL169" s="138"/>
      <c r="CM169" s="140"/>
      <c r="CR169" s="124"/>
      <c r="CV169" s="125"/>
      <c r="CW169" s="124"/>
      <c r="CZ169" s="126"/>
      <c r="DA169" s="124"/>
      <c r="DE169" s="124"/>
      <c r="DJ169" s="124"/>
      <c r="DK169" s="125"/>
      <c r="DM169" s="126"/>
      <c r="DN169" s="124"/>
      <c r="DS169" s="124"/>
      <c r="EA169" s="124"/>
      <c r="EE169" s="125"/>
      <c r="EF169" s="124"/>
      <c r="EJ169" s="124"/>
      <c r="EN169" s="124"/>
      <c r="ER169" s="126"/>
      <c r="EV169" s="125"/>
      <c r="EW169" s="124"/>
      <c r="EZ169" s="126"/>
      <c r="FF169" s="124"/>
      <c r="FI169" s="126"/>
      <c r="FK169" s="125"/>
      <c r="FN169" s="124"/>
      <c r="FR169" s="126"/>
      <c r="FW169" s="124"/>
      <c r="FZ169" s="126"/>
      <c r="GA169" s="124"/>
      <c r="GE169" s="141"/>
      <c r="GJ169" s="124"/>
      <c r="GM169" s="126"/>
      <c r="GS169" s="124"/>
      <c r="GV169" s="126"/>
      <c r="HA169" s="124"/>
      <c r="HE169" s="126"/>
      <c r="HJ169" s="124"/>
      <c r="HM169" s="126"/>
      <c r="HS169" s="124"/>
      <c r="HV169" s="126"/>
      <c r="IA169" s="124"/>
      <c r="IE169" s="125"/>
      <c r="IF169" s="124"/>
      <c r="II169" s="126"/>
      <c r="IN169" s="124"/>
      <c r="IR169" s="126"/>
      <c r="IW169" s="124"/>
      <c r="IZ169" s="126"/>
      <c r="JF169" s="124"/>
      <c r="JI169" s="126"/>
      <c r="JN169" s="124"/>
      <c r="JR169" s="126"/>
      <c r="JW169" s="124"/>
      <c r="JZ169" s="126"/>
      <c r="KD169" s="141"/>
      <c r="KE169" s="124"/>
      <c r="KH169" s="126"/>
    </row>
    <row r="170" spans="2:294" ht="18.600000000000001">
      <c r="B170" s="127"/>
      <c r="C170" s="323" t="s">
        <v>209</v>
      </c>
      <c r="D170" s="129" t="s">
        <v>186</v>
      </c>
      <c r="E170" s="130"/>
      <c r="F170" s="131"/>
      <c r="G170" s="131"/>
      <c r="H170" s="131"/>
      <c r="I170" s="132"/>
      <c r="J170" s="133"/>
      <c r="K170" s="131"/>
      <c r="L170" s="131"/>
      <c r="M170" s="132"/>
      <c r="N170" s="134"/>
      <c r="O170" s="131"/>
      <c r="P170" s="131"/>
      <c r="Q170" s="132"/>
      <c r="R170" s="134"/>
      <c r="S170" s="131"/>
      <c r="T170" s="131"/>
      <c r="U170" s="132"/>
      <c r="V170" s="130"/>
      <c r="W170" s="131"/>
      <c r="X170" s="131"/>
      <c r="Y170" s="131"/>
      <c r="Z170" s="132"/>
      <c r="AA170" s="134"/>
      <c r="AB170" s="131"/>
      <c r="AC170" s="131"/>
      <c r="AD170" s="132"/>
      <c r="AE170" s="134"/>
      <c r="AF170" s="131"/>
      <c r="AG170" s="131"/>
      <c r="AH170" s="132"/>
      <c r="AI170" s="134"/>
      <c r="AJ170" s="131"/>
      <c r="AK170" s="135"/>
      <c r="AL170" s="131"/>
      <c r="AM170" s="132"/>
      <c r="AN170" s="134"/>
      <c r="AO170" s="131"/>
      <c r="AP170" s="131"/>
      <c r="AQ170" s="132"/>
      <c r="AR170" s="134"/>
      <c r="AS170" s="131"/>
      <c r="AT170" s="131"/>
      <c r="AU170" s="131"/>
      <c r="AV170" s="132"/>
      <c r="AW170" s="134"/>
      <c r="AX170" s="131"/>
      <c r="AY170" s="131"/>
      <c r="AZ170" s="132"/>
      <c r="BA170" s="134"/>
      <c r="BB170" s="131"/>
      <c r="BC170" s="131"/>
      <c r="BD170" s="132"/>
      <c r="BE170" s="134"/>
      <c r="BF170" s="136"/>
      <c r="BG170" s="136"/>
      <c r="BH170" s="131"/>
      <c r="BI170" s="132"/>
      <c r="BJ170" s="133"/>
      <c r="BK170" s="135"/>
      <c r="BL170" s="131"/>
      <c r="BM170" s="136"/>
      <c r="BN170" s="134"/>
      <c r="BO170" s="131"/>
      <c r="BP170" s="131"/>
      <c r="BQ170" s="132"/>
      <c r="BR170" s="133"/>
      <c r="BS170" s="131"/>
      <c r="BT170" s="131"/>
      <c r="BU170" s="131"/>
      <c r="BV170" s="136"/>
      <c r="BW170" s="134"/>
      <c r="BX170" s="131"/>
      <c r="BY170" s="131"/>
      <c r="BZ170" s="132"/>
      <c r="CA170" s="133"/>
      <c r="CB170" s="131"/>
      <c r="CC170" s="131"/>
      <c r="CD170" s="132"/>
      <c r="CE170" s="137"/>
      <c r="CF170" s="133"/>
      <c r="CG170" s="138"/>
      <c r="CH170" s="138"/>
      <c r="CI170" s="139"/>
      <c r="CJ170" s="134"/>
      <c r="CK170" s="138"/>
      <c r="CL170" s="138"/>
      <c r="CM170" s="140"/>
      <c r="CR170" s="124"/>
      <c r="CV170" s="125"/>
      <c r="CW170" s="124"/>
      <c r="CZ170" s="126"/>
      <c r="DA170" s="124"/>
      <c r="DE170" s="124"/>
      <c r="DJ170" s="124"/>
      <c r="DK170" s="125"/>
      <c r="DM170" s="126"/>
      <c r="DN170" s="124"/>
      <c r="DS170" s="124"/>
      <c r="EA170" s="124"/>
      <c r="EE170" s="125"/>
      <c r="EF170" s="124"/>
      <c r="EJ170" s="124"/>
      <c r="EN170" s="124"/>
      <c r="ER170" s="126"/>
      <c r="EV170" s="125"/>
      <c r="EW170" s="124"/>
      <c r="EZ170" s="126"/>
      <c r="FF170" s="124"/>
      <c r="FI170" s="126"/>
      <c r="FK170" s="125"/>
      <c r="FN170" s="124"/>
      <c r="FR170" s="126"/>
      <c r="FW170" s="124"/>
      <c r="FZ170" s="126"/>
      <c r="GA170" s="124"/>
      <c r="GE170" s="141"/>
      <c r="GJ170" s="124"/>
      <c r="GM170" s="126"/>
      <c r="GS170" s="124"/>
      <c r="GV170" s="126"/>
      <c r="HA170" s="124"/>
      <c r="HE170" s="126"/>
      <c r="HJ170" s="124"/>
      <c r="HM170" s="126"/>
      <c r="HS170" s="124"/>
      <c r="HV170" s="126"/>
      <c r="IA170" s="124"/>
      <c r="IE170" s="125"/>
      <c r="IF170" s="124"/>
      <c r="II170" s="126"/>
      <c r="IN170" s="124"/>
      <c r="IR170" s="126"/>
      <c r="IW170" s="124"/>
      <c r="IZ170" s="126"/>
      <c r="JF170" s="124"/>
      <c r="JI170" s="126"/>
      <c r="JN170" s="124"/>
      <c r="JR170" s="126"/>
      <c r="JW170" s="124"/>
      <c r="JZ170" s="126"/>
      <c r="KD170" s="141"/>
      <c r="KE170" s="124"/>
      <c r="KH170" s="126"/>
    </row>
    <row r="171" spans="2:294" ht="18.600000000000001">
      <c r="B171" s="127"/>
      <c r="C171" s="244" t="s">
        <v>162</v>
      </c>
      <c r="D171" s="129"/>
      <c r="E171" s="130"/>
      <c r="F171" s="131"/>
      <c r="G171" s="131"/>
      <c r="H171" s="131"/>
      <c r="I171" s="132"/>
      <c r="J171" s="133"/>
      <c r="K171" s="131"/>
      <c r="L171" s="131"/>
      <c r="M171" s="132"/>
      <c r="N171" s="134"/>
      <c r="O171" s="131"/>
      <c r="P171" s="131"/>
      <c r="Q171" s="132"/>
      <c r="R171" s="134"/>
      <c r="S171" s="131"/>
      <c r="T171" s="131"/>
      <c r="U171" s="132"/>
      <c r="V171" s="130"/>
      <c r="W171" s="131"/>
      <c r="X171" s="131"/>
      <c r="Y171" s="131"/>
      <c r="Z171" s="132"/>
      <c r="AA171" s="134"/>
      <c r="AB171" s="131"/>
      <c r="AC171" s="131"/>
      <c r="AD171" s="132"/>
      <c r="AE171" s="134"/>
      <c r="AF171" s="131"/>
      <c r="AG171" s="131"/>
      <c r="AH171" s="132"/>
      <c r="AI171" s="134"/>
      <c r="AJ171" s="131"/>
      <c r="AK171" s="135"/>
      <c r="AL171" s="131"/>
      <c r="AM171" s="132"/>
      <c r="AN171" s="134"/>
      <c r="AO171" s="131"/>
      <c r="AP171" s="131"/>
      <c r="AQ171" s="132"/>
      <c r="AR171" s="134"/>
      <c r="AS171" s="131"/>
      <c r="AT171" s="131"/>
      <c r="AU171" s="131"/>
      <c r="AV171" s="132"/>
      <c r="AW171" s="134"/>
      <c r="AX171" s="131"/>
      <c r="AY171" s="131"/>
      <c r="AZ171" s="132"/>
      <c r="BA171" s="134"/>
      <c r="BB171" s="131"/>
      <c r="BC171" s="131"/>
      <c r="BD171" s="132"/>
      <c r="BE171" s="134"/>
      <c r="BF171" s="136"/>
      <c r="BG171" s="136"/>
      <c r="BH171" s="131"/>
      <c r="BI171" s="132"/>
      <c r="BJ171" s="133"/>
      <c r="BK171" s="135"/>
      <c r="BL171" s="131"/>
      <c r="BM171" s="136"/>
      <c r="BN171" s="134"/>
      <c r="BO171" s="131"/>
      <c r="BP171" s="131"/>
      <c r="BQ171" s="132"/>
      <c r="BR171" s="133"/>
      <c r="BS171" s="131"/>
      <c r="BT171" s="131"/>
      <c r="BU171" s="131"/>
      <c r="BV171" s="136"/>
      <c r="BW171" s="134"/>
      <c r="BX171" s="131"/>
      <c r="BY171" s="131"/>
      <c r="BZ171" s="132"/>
      <c r="CA171" s="133"/>
      <c r="CB171" s="131"/>
      <c r="CC171" s="131"/>
      <c r="CD171" s="132"/>
      <c r="CE171" s="137"/>
      <c r="CF171" s="133"/>
      <c r="CG171" s="138"/>
      <c r="CH171" s="138"/>
      <c r="CI171" s="139"/>
      <c r="CJ171" s="134"/>
      <c r="CK171" s="138"/>
      <c r="CL171" s="138"/>
      <c r="CM171" s="140"/>
      <c r="CR171" s="124"/>
      <c r="CV171" s="125"/>
      <c r="CW171" s="124"/>
      <c r="CZ171" s="126"/>
      <c r="DA171" s="124"/>
      <c r="DE171" s="124"/>
      <c r="DJ171" s="124"/>
      <c r="DK171" s="125"/>
      <c r="DM171" s="126"/>
      <c r="DN171" s="124"/>
      <c r="DS171" s="124"/>
      <c r="EA171" s="124"/>
      <c r="EE171" s="125"/>
      <c r="EF171" s="124"/>
      <c r="EJ171" s="124"/>
      <c r="EN171" s="124"/>
      <c r="ER171" s="126"/>
      <c r="EV171" s="125"/>
      <c r="EW171" s="124"/>
      <c r="EZ171" s="126"/>
      <c r="FF171" s="124"/>
      <c r="FI171" s="126"/>
      <c r="FK171" s="125"/>
      <c r="FN171" s="124"/>
      <c r="FR171" s="126"/>
      <c r="FW171" s="124"/>
      <c r="FZ171" s="126"/>
      <c r="GA171" s="124"/>
      <c r="GE171" s="141"/>
      <c r="GJ171" s="124"/>
      <c r="GM171" s="126"/>
      <c r="GS171" s="124"/>
      <c r="GV171" s="126"/>
      <c r="HA171" s="124"/>
      <c r="HE171" s="126"/>
      <c r="HJ171" s="124"/>
      <c r="HM171" s="126"/>
      <c r="HS171" s="124"/>
      <c r="HV171" s="126"/>
      <c r="IA171" s="124"/>
      <c r="IE171" s="125"/>
      <c r="IF171" s="124"/>
      <c r="II171" s="126"/>
      <c r="IN171" s="124"/>
      <c r="IR171" s="126"/>
      <c r="IW171" s="124"/>
      <c r="IZ171" s="126"/>
      <c r="JF171" s="124"/>
      <c r="JI171" s="126"/>
      <c r="JN171" s="124"/>
      <c r="JR171" s="126"/>
      <c r="JW171" s="124"/>
      <c r="JZ171" s="126"/>
      <c r="KD171" s="141"/>
      <c r="KE171" s="124"/>
      <c r="KH171" s="126"/>
    </row>
    <row r="172" spans="2:294" ht="18.600000000000001">
      <c r="B172" s="127"/>
      <c r="C172" s="244"/>
      <c r="D172" s="129"/>
      <c r="E172" s="130"/>
      <c r="F172" s="131"/>
      <c r="G172" s="131"/>
      <c r="H172" s="131"/>
      <c r="I172" s="132"/>
      <c r="J172" s="133"/>
      <c r="K172" s="131"/>
      <c r="L172" s="131"/>
      <c r="M172" s="132"/>
      <c r="N172" s="134"/>
      <c r="O172" s="131"/>
      <c r="P172" s="131"/>
      <c r="Q172" s="132"/>
      <c r="R172" s="134"/>
      <c r="S172" s="131"/>
      <c r="T172" s="131"/>
      <c r="U172" s="132"/>
      <c r="V172" s="130"/>
      <c r="W172" s="131"/>
      <c r="X172" s="131"/>
      <c r="Y172" s="131"/>
      <c r="Z172" s="132"/>
      <c r="AA172" s="134"/>
      <c r="AB172" s="131"/>
      <c r="AC172" s="131"/>
      <c r="AD172" s="132"/>
      <c r="AE172" s="134"/>
      <c r="AF172" s="131"/>
      <c r="AG172" s="131"/>
      <c r="AH172" s="132"/>
      <c r="AI172" s="134"/>
      <c r="AJ172" s="131"/>
      <c r="AK172" s="135"/>
      <c r="AL172" s="131"/>
      <c r="AM172" s="132"/>
      <c r="AN172" s="134"/>
      <c r="AO172" s="131"/>
      <c r="AP172" s="131"/>
      <c r="AQ172" s="132"/>
      <c r="AR172" s="134"/>
      <c r="AS172" s="131"/>
      <c r="AT172" s="131"/>
      <c r="AU172" s="131"/>
      <c r="AV172" s="132"/>
      <c r="AW172" s="134"/>
      <c r="AX172" s="131"/>
      <c r="AY172" s="131"/>
      <c r="AZ172" s="132"/>
      <c r="BA172" s="134"/>
      <c r="BB172" s="131"/>
      <c r="BC172" s="131"/>
      <c r="BD172" s="132"/>
      <c r="BE172" s="134"/>
      <c r="BF172" s="136"/>
      <c r="BG172" s="136"/>
      <c r="BH172" s="131"/>
      <c r="BI172" s="132"/>
      <c r="BJ172" s="133"/>
      <c r="BK172" s="135"/>
      <c r="BL172" s="131"/>
      <c r="BM172" s="136"/>
      <c r="BN172" s="134"/>
      <c r="BO172" s="131"/>
      <c r="BP172" s="131"/>
      <c r="BQ172" s="132"/>
      <c r="BR172" s="133"/>
      <c r="BS172" s="131"/>
      <c r="BT172" s="131"/>
      <c r="BU172" s="131"/>
      <c r="BV172" s="136"/>
      <c r="BW172" s="134"/>
      <c r="BX172" s="131"/>
      <c r="BY172" s="131"/>
      <c r="BZ172" s="132"/>
      <c r="CA172" s="133"/>
      <c r="CB172" s="131"/>
      <c r="CC172" s="131"/>
      <c r="CD172" s="132"/>
      <c r="CE172" s="137"/>
      <c r="CF172" s="133"/>
      <c r="CG172" s="138"/>
      <c r="CH172" s="138"/>
      <c r="CI172" s="139"/>
      <c r="CJ172" s="134"/>
      <c r="CK172" s="138"/>
      <c r="CL172" s="138"/>
      <c r="CM172" s="140"/>
      <c r="CR172" s="124"/>
      <c r="CV172" s="125"/>
      <c r="CW172" s="124"/>
      <c r="CZ172" s="126"/>
      <c r="DA172" s="124"/>
      <c r="DE172" s="124"/>
      <c r="DJ172" s="124"/>
      <c r="DK172" s="125"/>
      <c r="DM172" s="126"/>
      <c r="DN172" s="124"/>
      <c r="DS172" s="124"/>
      <c r="EA172" s="124"/>
      <c r="EE172" s="125"/>
      <c r="EF172" s="124"/>
      <c r="EJ172" s="124"/>
      <c r="EN172" s="124"/>
      <c r="ER172" s="126"/>
      <c r="EV172" s="125"/>
      <c r="EW172" s="124"/>
      <c r="EZ172" s="126"/>
      <c r="FF172" s="124"/>
      <c r="FI172" s="126"/>
      <c r="FK172" s="125"/>
      <c r="FN172" s="124"/>
      <c r="FR172" s="126"/>
      <c r="FW172" s="124"/>
      <c r="FZ172" s="126"/>
      <c r="GA172" s="124"/>
      <c r="GE172" s="141"/>
      <c r="GJ172" s="124"/>
      <c r="GM172" s="126"/>
      <c r="GS172" s="124"/>
      <c r="GV172" s="126"/>
      <c r="HA172" s="124"/>
      <c r="HE172" s="126"/>
      <c r="HJ172" s="124"/>
      <c r="HM172" s="126"/>
      <c r="HS172" s="124"/>
      <c r="HV172" s="126"/>
      <c r="IA172" s="124"/>
      <c r="IE172" s="125"/>
      <c r="IF172" s="124"/>
      <c r="II172" s="126"/>
      <c r="IN172" s="124"/>
      <c r="IR172" s="126"/>
      <c r="IW172" s="124"/>
      <c r="IZ172" s="126"/>
      <c r="JF172" s="124"/>
      <c r="JI172" s="126"/>
      <c r="JN172" s="124"/>
      <c r="JR172" s="126"/>
      <c r="JW172" s="124"/>
      <c r="JZ172" s="126"/>
      <c r="KD172" s="141"/>
      <c r="KE172" s="124"/>
      <c r="KH172" s="126"/>
    </row>
    <row r="173" spans="2:294" ht="19.2" thickBot="1">
      <c r="B173" s="127"/>
      <c r="C173" s="252"/>
      <c r="D173" s="158"/>
      <c r="E173" s="159"/>
      <c r="F173" s="160"/>
      <c r="G173" s="160"/>
      <c r="H173" s="160"/>
      <c r="I173" s="161"/>
      <c r="J173" s="162"/>
      <c r="K173" s="160"/>
      <c r="L173" s="160"/>
      <c r="M173" s="161"/>
      <c r="N173" s="163"/>
      <c r="O173" s="160"/>
      <c r="P173" s="160"/>
      <c r="Q173" s="161"/>
      <c r="R173" s="163"/>
      <c r="S173" s="160"/>
      <c r="T173" s="160"/>
      <c r="U173" s="161"/>
      <c r="V173" s="159"/>
      <c r="W173" s="160"/>
      <c r="X173" s="160"/>
      <c r="Y173" s="160"/>
      <c r="Z173" s="161"/>
      <c r="AA173" s="163"/>
      <c r="AB173" s="160"/>
      <c r="AC173" s="160"/>
      <c r="AD173" s="161"/>
      <c r="AE173" s="163"/>
      <c r="AF173" s="160"/>
      <c r="AG173" s="160"/>
      <c r="AH173" s="161"/>
      <c r="AI173" s="163"/>
      <c r="AJ173" s="160"/>
      <c r="AK173" s="164"/>
      <c r="AL173" s="160"/>
      <c r="AM173" s="161"/>
      <c r="AN173" s="163"/>
      <c r="AO173" s="160"/>
      <c r="AP173" s="160"/>
      <c r="AQ173" s="161"/>
      <c r="AR173" s="163"/>
      <c r="AS173" s="160"/>
      <c r="AT173" s="160"/>
      <c r="AU173" s="160"/>
      <c r="AV173" s="161"/>
      <c r="AW173" s="163"/>
      <c r="AX173" s="160"/>
      <c r="AY173" s="160"/>
      <c r="AZ173" s="161"/>
      <c r="BA173" s="163"/>
      <c r="BB173" s="160"/>
      <c r="BC173" s="160"/>
      <c r="BD173" s="161"/>
      <c r="BE173" s="163"/>
      <c r="BF173" s="165"/>
      <c r="BG173" s="165"/>
      <c r="BH173" s="160"/>
      <c r="BI173" s="161"/>
      <c r="BJ173" s="162"/>
      <c r="BK173" s="164"/>
      <c r="BL173" s="160"/>
      <c r="BM173" s="165"/>
      <c r="BN173" s="163"/>
      <c r="BO173" s="160"/>
      <c r="BP173" s="160"/>
      <c r="BQ173" s="161"/>
      <c r="BR173" s="162"/>
      <c r="BS173" s="160"/>
      <c r="BT173" s="160"/>
      <c r="BU173" s="160"/>
      <c r="BV173" s="165"/>
      <c r="BW173" s="163"/>
      <c r="BX173" s="160"/>
      <c r="BY173" s="160"/>
      <c r="BZ173" s="161"/>
      <c r="CA173" s="162"/>
      <c r="CB173" s="160"/>
      <c r="CC173" s="160"/>
      <c r="CD173" s="161"/>
      <c r="CE173" s="166"/>
      <c r="CF173" s="162"/>
      <c r="CG173" s="167"/>
      <c r="CH173" s="167"/>
      <c r="CI173" s="168"/>
      <c r="CJ173" s="163"/>
      <c r="CK173" s="167"/>
      <c r="CL173" s="167"/>
      <c r="CM173" s="169"/>
      <c r="CN173" s="145"/>
      <c r="CO173" s="145"/>
      <c r="CP173" s="145"/>
      <c r="CQ173" s="145"/>
      <c r="CR173" s="146"/>
      <c r="CS173" s="145"/>
      <c r="CT173" s="145"/>
      <c r="CU173" s="145"/>
      <c r="CV173" s="147"/>
      <c r="CW173" s="146"/>
      <c r="CX173" s="145"/>
      <c r="CY173" s="145"/>
      <c r="CZ173" s="148"/>
      <c r="DA173" s="146"/>
      <c r="DB173" s="145"/>
      <c r="DC173" s="145"/>
      <c r="DD173" s="145"/>
      <c r="DE173" s="146"/>
      <c r="DF173" s="145"/>
      <c r="DG173" s="145"/>
      <c r="DH173" s="145"/>
      <c r="DI173" s="145"/>
      <c r="DJ173" s="146"/>
      <c r="DK173" s="147"/>
      <c r="DL173" s="145"/>
      <c r="DM173" s="148"/>
      <c r="DN173" s="146"/>
      <c r="DO173" s="145"/>
      <c r="DP173" s="145"/>
      <c r="DQ173" s="145"/>
      <c r="DR173" s="145"/>
      <c r="DS173" s="146"/>
      <c r="DT173" s="145"/>
      <c r="DU173" s="145"/>
      <c r="DV173" s="145"/>
      <c r="DW173" s="145"/>
      <c r="DX173" s="145"/>
      <c r="DY173" s="145"/>
      <c r="DZ173" s="145"/>
      <c r="EA173" s="146"/>
      <c r="EB173" s="145"/>
      <c r="EC173" s="145"/>
      <c r="ED173" s="145"/>
      <c r="EE173" s="147"/>
      <c r="EF173" s="146"/>
      <c r="EG173" s="145"/>
      <c r="EH173" s="145"/>
      <c r="EI173" s="145"/>
      <c r="EJ173" s="146"/>
      <c r="EK173" s="145"/>
      <c r="EL173" s="145"/>
      <c r="EM173" s="145"/>
      <c r="EN173" s="146"/>
      <c r="EO173" s="145"/>
      <c r="EP173" s="145"/>
      <c r="EQ173" s="145"/>
      <c r="ER173" s="148"/>
      <c r="ES173" s="145"/>
      <c r="ET173" s="145"/>
      <c r="EU173" s="145"/>
      <c r="EV173" s="147"/>
      <c r="EW173" s="146"/>
      <c r="EX173" s="145"/>
      <c r="EY173" s="145"/>
      <c r="EZ173" s="148"/>
      <c r="FA173" s="145"/>
      <c r="FB173" s="145"/>
      <c r="FC173" s="145"/>
      <c r="FD173" s="145"/>
      <c r="FE173" s="145"/>
      <c r="FF173" s="146"/>
      <c r="FG173" s="145"/>
      <c r="FH173" s="145"/>
      <c r="FI173" s="148"/>
      <c r="FJ173" s="145"/>
      <c r="FK173" s="147"/>
      <c r="FL173" s="145"/>
      <c r="FM173" s="145"/>
      <c r="FN173" s="146"/>
      <c r="FO173" s="145"/>
      <c r="FP173" s="145"/>
      <c r="FQ173" s="145"/>
      <c r="FR173" s="148"/>
      <c r="FS173" s="145"/>
      <c r="FT173" s="145"/>
      <c r="FU173" s="145"/>
      <c r="FV173" s="145"/>
      <c r="FW173" s="146"/>
      <c r="FX173" s="145"/>
      <c r="FY173" s="145"/>
      <c r="FZ173" s="148"/>
      <c r="GA173" s="146"/>
      <c r="GB173" s="145"/>
      <c r="GC173" s="145"/>
      <c r="GD173" s="145"/>
      <c r="GE173" s="149"/>
      <c r="GF173" s="145"/>
      <c r="GG173" s="145"/>
      <c r="GH173" s="145"/>
      <c r="GI173" s="145"/>
      <c r="GJ173" s="146"/>
      <c r="GK173" s="145"/>
      <c r="GL173" s="145"/>
      <c r="GM173" s="148"/>
      <c r="GN173" s="145"/>
      <c r="GO173" s="145"/>
      <c r="GP173" s="145"/>
      <c r="GQ173" s="145"/>
      <c r="GR173" s="145"/>
      <c r="GS173" s="146"/>
      <c r="GT173" s="145"/>
      <c r="GU173" s="145"/>
      <c r="GV173" s="148"/>
      <c r="GW173" s="145"/>
      <c r="GX173" s="145"/>
      <c r="GY173" s="145"/>
      <c r="GZ173" s="145"/>
      <c r="HA173" s="146"/>
      <c r="HB173" s="145"/>
      <c r="HC173" s="145"/>
      <c r="HD173" s="145"/>
      <c r="HE173" s="148"/>
      <c r="HF173" s="145"/>
      <c r="HG173" s="145"/>
      <c r="HH173" s="145"/>
      <c r="HI173" s="145"/>
      <c r="HJ173" s="146"/>
      <c r="HK173" s="145"/>
      <c r="HL173" s="145"/>
      <c r="HM173" s="148"/>
      <c r="HN173" s="145"/>
      <c r="HO173" s="145"/>
      <c r="HP173" s="145"/>
      <c r="HQ173" s="145"/>
      <c r="HR173" s="145"/>
      <c r="HS173" s="146"/>
      <c r="HT173" s="145"/>
      <c r="HU173" s="145"/>
      <c r="HV173" s="148"/>
      <c r="HW173" s="145"/>
      <c r="HX173" s="145"/>
      <c r="HY173" s="145"/>
      <c r="HZ173" s="145"/>
      <c r="IA173" s="146"/>
      <c r="IB173" s="145"/>
      <c r="IC173" s="145"/>
      <c r="ID173" s="145"/>
      <c r="IE173" s="147"/>
      <c r="IF173" s="146"/>
      <c r="IG173" s="145"/>
      <c r="IH173" s="145"/>
      <c r="II173" s="148"/>
      <c r="IJ173" s="145"/>
      <c r="IK173" s="145"/>
      <c r="IL173" s="145"/>
      <c r="IM173" s="145"/>
      <c r="IN173" s="146"/>
      <c r="IO173" s="145"/>
      <c r="IP173" s="145"/>
      <c r="IQ173" s="145"/>
      <c r="IR173" s="148"/>
      <c r="IS173" s="145"/>
      <c r="IT173" s="145"/>
      <c r="IU173" s="145"/>
      <c r="IV173" s="145"/>
      <c r="IW173" s="146"/>
      <c r="IX173" s="145"/>
      <c r="IY173" s="145"/>
      <c r="IZ173" s="148"/>
      <c r="JA173" s="145"/>
      <c r="JB173" s="145"/>
      <c r="JC173" s="145"/>
      <c r="JD173" s="145"/>
      <c r="JE173" s="145"/>
      <c r="JF173" s="146"/>
      <c r="JG173" s="145"/>
      <c r="JH173" s="145"/>
      <c r="JI173" s="148"/>
      <c r="JJ173" s="145"/>
      <c r="JK173" s="145"/>
      <c r="JL173" s="145"/>
      <c r="JM173" s="145"/>
      <c r="JN173" s="146"/>
      <c r="JO173" s="145"/>
      <c r="JP173" s="145"/>
      <c r="JQ173" s="145"/>
      <c r="JR173" s="148"/>
      <c r="JS173" s="145"/>
      <c r="JT173" s="145"/>
      <c r="JU173" s="145"/>
      <c r="JV173" s="145"/>
      <c r="JW173" s="146"/>
      <c r="JX173" s="145"/>
      <c r="JY173" s="145"/>
      <c r="JZ173" s="148"/>
      <c r="KA173" s="145"/>
      <c r="KB173" s="145"/>
      <c r="KC173" s="145"/>
      <c r="KD173" s="149"/>
      <c r="KE173" s="146"/>
      <c r="KF173" s="145"/>
      <c r="KG173" s="145"/>
      <c r="KH173" s="148"/>
    </row>
    <row r="174" spans="2:294" ht="19.2" thickTop="1">
      <c r="B174" s="127"/>
      <c r="C174" s="244"/>
      <c r="D174" s="129"/>
      <c r="E174" s="130"/>
      <c r="F174" s="131"/>
      <c r="G174" s="131"/>
      <c r="H174" s="131"/>
      <c r="I174" s="132"/>
      <c r="J174" s="133"/>
      <c r="K174" s="131"/>
      <c r="L174" s="131"/>
      <c r="M174" s="132"/>
      <c r="N174" s="134"/>
      <c r="O174" s="131"/>
      <c r="P174" s="131"/>
      <c r="Q174" s="132"/>
      <c r="R174" s="134"/>
      <c r="S174" s="131"/>
      <c r="T174" s="131"/>
      <c r="U174" s="132"/>
      <c r="V174" s="130"/>
      <c r="W174" s="131"/>
      <c r="X174" s="131"/>
      <c r="Y174" s="131"/>
      <c r="Z174" s="132"/>
      <c r="AA174" s="134"/>
      <c r="AB174" s="131"/>
      <c r="AC174" s="131"/>
      <c r="AD174" s="132"/>
      <c r="AE174" s="134"/>
      <c r="AF174" s="131"/>
      <c r="AG174" s="131"/>
      <c r="AH174" s="132"/>
      <c r="AI174" s="134"/>
      <c r="AJ174" s="131"/>
      <c r="AK174" s="135"/>
      <c r="AL174" s="131"/>
      <c r="AM174" s="132"/>
      <c r="AN174" s="134"/>
      <c r="AO174" s="131"/>
      <c r="AP174" s="131"/>
      <c r="AQ174" s="132"/>
      <c r="AR174" s="134"/>
      <c r="AS174" s="131"/>
      <c r="AT174" s="131"/>
      <c r="AU174" s="131"/>
      <c r="AV174" s="132"/>
      <c r="AW174" s="134"/>
      <c r="AX174" s="131"/>
      <c r="AY174" s="131"/>
      <c r="AZ174" s="132"/>
      <c r="BA174" s="134"/>
      <c r="BB174" s="131"/>
      <c r="BC174" s="131"/>
      <c r="BD174" s="132"/>
      <c r="BE174" s="134"/>
      <c r="BF174" s="136"/>
      <c r="BG174" s="136"/>
      <c r="BH174" s="131"/>
      <c r="BI174" s="132"/>
      <c r="BJ174" s="133"/>
      <c r="BK174" s="135"/>
      <c r="BL174" s="131"/>
      <c r="BM174" s="136"/>
      <c r="BN174" s="134"/>
      <c r="BO174" s="131"/>
      <c r="BP174" s="131"/>
      <c r="BQ174" s="132"/>
      <c r="BR174" s="133"/>
      <c r="BS174" s="131"/>
      <c r="BT174" s="131"/>
      <c r="BU174" s="131"/>
      <c r="BV174" s="136"/>
      <c r="BW174" s="134"/>
      <c r="BX174" s="131"/>
      <c r="BY174" s="131"/>
      <c r="BZ174" s="132"/>
      <c r="CA174" s="133"/>
      <c r="CB174" s="131"/>
      <c r="CC174" s="131"/>
      <c r="CD174" s="132"/>
      <c r="CE174" s="137"/>
      <c r="CF174" s="133"/>
      <c r="CG174" s="138"/>
      <c r="CH174" s="138"/>
      <c r="CI174" s="139"/>
      <c r="CJ174" s="134"/>
      <c r="CK174" s="138"/>
      <c r="CL174" s="138"/>
      <c r="CM174" s="140"/>
      <c r="CR174" s="124"/>
      <c r="CV174" s="125"/>
      <c r="CW174" s="124"/>
      <c r="CZ174" s="126"/>
      <c r="DA174" s="124"/>
      <c r="DE174" s="124"/>
      <c r="DJ174" s="124"/>
      <c r="DK174" s="125"/>
      <c r="DL174" s="151"/>
      <c r="DM174" s="154"/>
      <c r="DN174" s="150"/>
      <c r="DO174" s="151"/>
      <c r="DP174" s="151"/>
      <c r="DQ174" s="151"/>
      <c r="DR174" s="151"/>
      <c r="DS174" s="150"/>
      <c r="DT174" s="151"/>
      <c r="DU174" s="151"/>
      <c r="DV174" s="151"/>
      <c r="DW174" s="151"/>
      <c r="DX174" s="151"/>
      <c r="DY174" s="151"/>
      <c r="DZ174" s="151"/>
      <c r="EA174" s="150"/>
      <c r="EB174" s="151"/>
      <c r="EC174" s="151"/>
      <c r="ED174" s="151"/>
      <c r="EE174" s="152"/>
      <c r="EF174" s="150"/>
      <c r="EG174" s="151"/>
      <c r="EH174" s="151"/>
      <c r="EI174" s="151"/>
      <c r="EJ174" s="150"/>
      <c r="EK174" s="151"/>
      <c r="EL174" s="151"/>
      <c r="EM174" s="151"/>
      <c r="EN174" s="150"/>
      <c r="EO174" s="151"/>
      <c r="EP174" s="151"/>
      <c r="EQ174" s="151"/>
      <c r="ER174" s="154"/>
      <c r="ES174" s="151"/>
      <c r="ET174" s="151"/>
      <c r="EU174" s="151"/>
      <c r="EV174" s="152"/>
      <c r="EW174" s="150"/>
      <c r="EX174" s="151"/>
      <c r="EY174" s="151"/>
      <c r="EZ174" s="154"/>
      <c r="FA174" s="151"/>
      <c r="FB174" s="151"/>
      <c r="FC174" s="151"/>
      <c r="FD174" s="151"/>
      <c r="FE174" s="151"/>
      <c r="FF174" s="150"/>
      <c r="FG174" s="151"/>
      <c r="FH174" s="151"/>
      <c r="FI174" s="154"/>
      <c r="FJ174" s="151"/>
      <c r="FK174" s="152"/>
      <c r="FL174" s="151"/>
      <c r="FM174" s="151"/>
      <c r="FN174" s="150"/>
      <c r="FO174" s="151"/>
      <c r="FP174" s="151"/>
      <c r="FQ174" s="151"/>
      <c r="FR174" s="154"/>
      <c r="FS174" s="151"/>
      <c r="FT174" s="151"/>
      <c r="FU174" s="151"/>
      <c r="FV174" s="151"/>
      <c r="FW174" s="150"/>
      <c r="FX174" s="151"/>
      <c r="FY174" s="151"/>
      <c r="FZ174" s="154"/>
      <c r="GA174" s="150"/>
      <c r="GB174" s="151"/>
      <c r="GC174" s="151"/>
      <c r="GD174" s="151"/>
      <c r="GE174" s="156"/>
      <c r="GF174" s="151"/>
      <c r="GG174" s="151"/>
      <c r="GH174" s="151"/>
      <c r="GI174" s="151"/>
      <c r="GJ174" s="150"/>
      <c r="GK174" s="151"/>
      <c r="GL174" s="151"/>
      <c r="GM174" s="154"/>
      <c r="GN174" s="151"/>
      <c r="GO174" s="151"/>
      <c r="GP174" s="151"/>
      <c r="GQ174" s="151"/>
      <c r="GR174" s="151"/>
      <c r="GS174" s="150"/>
      <c r="GT174" s="151"/>
      <c r="GU174" s="151"/>
      <c r="GV174" s="154"/>
      <c r="GW174" s="151"/>
      <c r="GX174" s="151"/>
      <c r="GY174" s="151"/>
      <c r="GZ174" s="151"/>
      <c r="HA174" s="150"/>
      <c r="HB174" s="151"/>
      <c r="HC174" s="151"/>
      <c r="HD174" s="151"/>
      <c r="HE174" s="154"/>
      <c r="HF174" s="151"/>
      <c r="HG174" s="151"/>
      <c r="HH174" s="151"/>
      <c r="HI174" s="151"/>
      <c r="HJ174" s="150"/>
      <c r="HK174" s="151"/>
      <c r="HL174" s="151"/>
      <c r="HM174" s="154"/>
      <c r="HN174" s="151"/>
      <c r="HO174" s="151"/>
      <c r="HP174" s="151"/>
      <c r="HQ174" s="151"/>
      <c r="HR174" s="151"/>
      <c r="HS174" s="150"/>
      <c r="HT174" s="151"/>
      <c r="HU174" s="151"/>
      <c r="HV174" s="154"/>
      <c r="HW174" s="151"/>
      <c r="HX174" s="151"/>
      <c r="HY174" s="151"/>
      <c r="HZ174" s="151"/>
      <c r="IA174" s="150"/>
      <c r="IB174" s="151"/>
      <c r="IC174" s="151"/>
      <c r="ID174" s="151"/>
      <c r="IE174" s="152"/>
      <c r="IF174" s="124"/>
      <c r="II174" s="126"/>
      <c r="IN174" s="124"/>
      <c r="IR174" s="126"/>
      <c r="IW174" s="124"/>
      <c r="IZ174" s="126"/>
      <c r="JF174" s="124"/>
      <c r="JI174" s="126"/>
      <c r="JN174" s="124"/>
      <c r="JR174" s="126"/>
      <c r="JW174" s="150"/>
      <c r="JX174" s="151"/>
      <c r="JY174" s="151"/>
      <c r="JZ174" s="154"/>
      <c r="KA174" s="151"/>
      <c r="KB174" s="151"/>
      <c r="KC174" s="151"/>
      <c r="KD174" s="156"/>
      <c r="KE174" s="150"/>
      <c r="KF174" s="151"/>
      <c r="KG174" s="151"/>
      <c r="KH174" s="154"/>
    </row>
    <row r="175" spans="2:294" ht="18.600000000000001">
      <c r="B175" s="127"/>
      <c r="C175" s="244"/>
      <c r="D175" s="129"/>
      <c r="E175" s="130"/>
      <c r="F175" s="131"/>
      <c r="G175" s="131"/>
      <c r="H175" s="131"/>
      <c r="I175" s="132"/>
      <c r="J175" s="133"/>
      <c r="K175" s="131"/>
      <c r="L175" s="131"/>
      <c r="M175" s="132"/>
      <c r="N175" s="134"/>
      <c r="O175" s="131"/>
      <c r="P175" s="131"/>
      <c r="Q175" s="132"/>
      <c r="R175" s="134"/>
      <c r="S175" s="131"/>
      <c r="T175" s="131"/>
      <c r="U175" s="132"/>
      <c r="V175" s="130"/>
      <c r="W175" s="131"/>
      <c r="X175" s="131"/>
      <c r="Y175" s="131"/>
      <c r="Z175" s="132"/>
      <c r="AA175" s="134"/>
      <c r="AB175" s="131"/>
      <c r="AC175" s="131"/>
      <c r="AD175" s="132"/>
      <c r="AE175" s="134"/>
      <c r="AF175" s="131"/>
      <c r="AG175" s="131"/>
      <c r="AH175" s="132"/>
      <c r="AI175" s="134"/>
      <c r="AJ175" s="131"/>
      <c r="AK175" s="135"/>
      <c r="AL175" s="131"/>
      <c r="AM175" s="132"/>
      <c r="AN175" s="134"/>
      <c r="AO175" s="131"/>
      <c r="AP175" s="131"/>
      <c r="AQ175" s="132"/>
      <c r="AR175" s="134"/>
      <c r="AS175" s="131"/>
      <c r="AT175" s="131"/>
      <c r="AU175" s="131"/>
      <c r="AV175" s="132"/>
      <c r="AW175" s="134"/>
      <c r="AX175" s="131"/>
      <c r="AY175" s="131"/>
      <c r="AZ175" s="132"/>
      <c r="BA175" s="134"/>
      <c r="BB175" s="131"/>
      <c r="BC175" s="131"/>
      <c r="BD175" s="132"/>
      <c r="BE175" s="134"/>
      <c r="BF175" s="136"/>
      <c r="BG175" s="136"/>
      <c r="BH175" s="131"/>
      <c r="BI175" s="132"/>
      <c r="BJ175" s="133"/>
      <c r="BK175" s="135"/>
      <c r="BL175" s="131"/>
      <c r="BM175" s="136"/>
      <c r="BN175" s="134"/>
      <c r="BO175" s="131"/>
      <c r="BP175" s="131"/>
      <c r="BQ175" s="132"/>
      <c r="BR175" s="133"/>
      <c r="BS175" s="131"/>
      <c r="BT175" s="131"/>
      <c r="BU175" s="131"/>
      <c r="BV175" s="136"/>
      <c r="BW175" s="134"/>
      <c r="BX175" s="131"/>
      <c r="BY175" s="131"/>
      <c r="BZ175" s="132"/>
      <c r="CA175" s="133"/>
      <c r="CB175" s="131"/>
      <c r="CC175" s="131"/>
      <c r="CD175" s="132"/>
      <c r="CE175" s="137"/>
      <c r="CF175" s="133"/>
      <c r="CG175" s="138"/>
      <c r="CH175" s="138"/>
      <c r="CI175" s="139"/>
      <c r="CJ175" s="134"/>
      <c r="CK175" s="138"/>
      <c r="CL175" s="138"/>
      <c r="CM175" s="140"/>
      <c r="CR175" s="124"/>
      <c r="CV175" s="125"/>
      <c r="CW175" s="124"/>
      <c r="CZ175" s="126"/>
      <c r="DA175" s="124"/>
      <c r="DE175" s="124"/>
      <c r="DJ175" s="124"/>
      <c r="DK175" s="125"/>
      <c r="DM175" s="126"/>
      <c r="DN175" s="124"/>
      <c r="DS175" s="124"/>
      <c r="EA175" s="124"/>
      <c r="EE175" s="125"/>
      <c r="EF175" s="124"/>
      <c r="EJ175" s="124"/>
      <c r="EN175" s="124"/>
      <c r="ER175" s="126"/>
      <c r="EV175" s="125"/>
      <c r="EW175" s="124"/>
      <c r="EZ175" s="126"/>
      <c r="FF175" s="124"/>
      <c r="FI175" s="126"/>
      <c r="FK175" s="125"/>
      <c r="FN175" s="124"/>
      <c r="FR175" s="126"/>
      <c r="FW175" s="124"/>
      <c r="FZ175" s="126"/>
      <c r="GA175" s="124"/>
      <c r="GE175" s="141"/>
      <c r="GJ175" s="124"/>
      <c r="GM175" s="126"/>
      <c r="GS175" s="124"/>
      <c r="GV175" s="126"/>
      <c r="HA175" s="124"/>
      <c r="HE175" s="126"/>
      <c r="HJ175" s="124"/>
      <c r="HM175" s="126"/>
      <c r="HS175" s="124"/>
      <c r="HV175" s="126"/>
      <c r="IA175" s="124"/>
      <c r="IE175" s="125"/>
      <c r="IF175" s="124"/>
      <c r="II175" s="126"/>
      <c r="IN175" s="124"/>
      <c r="IR175" s="126"/>
      <c r="IW175" s="124"/>
      <c r="IZ175" s="126"/>
      <c r="JF175" s="124"/>
      <c r="JI175" s="126"/>
      <c r="JN175" s="124"/>
      <c r="JR175" s="126"/>
      <c r="JW175" s="124"/>
      <c r="JZ175" s="126"/>
      <c r="KD175" s="141"/>
      <c r="KE175" s="124"/>
      <c r="KH175" s="126"/>
    </row>
    <row r="176" spans="2:294" ht="18.600000000000001">
      <c r="B176" s="127"/>
      <c r="C176" s="323" t="s">
        <v>210</v>
      </c>
      <c r="D176" s="129" t="s">
        <v>186</v>
      </c>
      <c r="E176" s="130"/>
      <c r="F176" s="131"/>
      <c r="G176" s="131"/>
      <c r="H176" s="131"/>
      <c r="I176" s="132"/>
      <c r="J176" s="133"/>
      <c r="K176" s="131"/>
      <c r="L176" s="131"/>
      <c r="M176" s="132"/>
      <c r="N176" s="134"/>
      <c r="O176" s="131"/>
      <c r="P176" s="131"/>
      <c r="Q176" s="132"/>
      <c r="R176" s="134"/>
      <c r="S176" s="131"/>
      <c r="T176" s="131"/>
      <c r="U176" s="132"/>
      <c r="V176" s="130"/>
      <c r="W176" s="131"/>
      <c r="X176" s="131"/>
      <c r="Y176" s="131"/>
      <c r="Z176" s="132"/>
      <c r="AA176" s="134"/>
      <c r="AB176" s="131"/>
      <c r="AC176" s="131"/>
      <c r="AD176" s="132"/>
      <c r="AE176" s="134"/>
      <c r="AF176" s="131"/>
      <c r="AG176" s="131"/>
      <c r="AH176" s="132"/>
      <c r="AI176" s="134"/>
      <c r="AJ176" s="131"/>
      <c r="AK176" s="135"/>
      <c r="AL176" s="131"/>
      <c r="AM176" s="132"/>
      <c r="AN176" s="134"/>
      <c r="AO176" s="131"/>
      <c r="AP176" s="131"/>
      <c r="AQ176" s="132"/>
      <c r="AR176" s="134"/>
      <c r="AS176" s="131"/>
      <c r="AT176" s="131"/>
      <c r="AU176" s="131"/>
      <c r="AV176" s="132"/>
      <c r="AW176" s="134"/>
      <c r="AX176" s="131"/>
      <c r="AY176" s="131"/>
      <c r="AZ176" s="132"/>
      <c r="BA176" s="134"/>
      <c r="BB176" s="131"/>
      <c r="BC176" s="131"/>
      <c r="BD176" s="132"/>
      <c r="BE176" s="134"/>
      <c r="BF176" s="136"/>
      <c r="BG176" s="136"/>
      <c r="BH176" s="131"/>
      <c r="BI176" s="132"/>
      <c r="BJ176" s="133"/>
      <c r="BK176" s="135"/>
      <c r="BL176" s="131"/>
      <c r="BM176" s="136"/>
      <c r="BN176" s="134"/>
      <c r="BO176" s="131"/>
      <c r="BP176" s="131"/>
      <c r="BQ176" s="132"/>
      <c r="BR176" s="133"/>
      <c r="BS176" s="131"/>
      <c r="BT176" s="131"/>
      <c r="BU176" s="131"/>
      <c r="BV176" s="136"/>
      <c r="BW176" s="134"/>
      <c r="BX176" s="131"/>
      <c r="BY176" s="131"/>
      <c r="BZ176" s="132"/>
      <c r="CA176" s="133"/>
      <c r="CB176" s="131"/>
      <c r="CC176" s="131"/>
      <c r="CD176" s="132"/>
      <c r="CE176" s="137"/>
      <c r="CF176" s="133"/>
      <c r="CG176" s="138"/>
      <c r="CH176" s="138"/>
      <c r="CI176" s="139"/>
      <c r="CJ176" s="134"/>
      <c r="CK176" s="138"/>
      <c r="CL176" s="138"/>
      <c r="CM176" s="140"/>
      <c r="CR176" s="124"/>
      <c r="CV176" s="125"/>
      <c r="CW176" s="124"/>
      <c r="CZ176" s="126"/>
      <c r="DA176" s="124"/>
      <c r="DE176" s="124"/>
      <c r="DJ176" s="124"/>
      <c r="DK176" s="125"/>
      <c r="DM176" s="126"/>
      <c r="DN176" s="124"/>
      <c r="DS176" s="124"/>
      <c r="EA176" s="124"/>
      <c r="EE176" s="125"/>
      <c r="EF176" s="124"/>
      <c r="EJ176" s="124"/>
      <c r="EN176" s="124"/>
      <c r="ER176" s="126"/>
      <c r="EV176" s="125"/>
      <c r="EW176" s="124"/>
      <c r="EZ176" s="126"/>
      <c r="FF176" s="124"/>
      <c r="FI176" s="126"/>
      <c r="FK176" s="125"/>
      <c r="FN176" s="124"/>
      <c r="FR176" s="126"/>
      <c r="FW176" s="124"/>
      <c r="FZ176" s="126"/>
      <c r="GA176" s="124"/>
      <c r="GE176" s="141"/>
      <c r="GJ176" s="124"/>
      <c r="GM176" s="126"/>
      <c r="GS176" s="124"/>
      <c r="GV176" s="126"/>
      <c r="HA176" s="124"/>
      <c r="HE176" s="126"/>
      <c r="HJ176" s="124"/>
      <c r="HM176" s="126"/>
      <c r="HS176" s="124"/>
      <c r="HV176" s="126"/>
      <c r="IA176" s="124"/>
      <c r="IE176" s="125"/>
      <c r="IF176" s="124"/>
      <c r="II176" s="126"/>
      <c r="IN176" s="124"/>
      <c r="IR176" s="126"/>
      <c r="IW176" s="124"/>
      <c r="IZ176" s="126"/>
      <c r="JF176" s="124"/>
      <c r="JI176" s="126"/>
      <c r="JN176" s="124"/>
      <c r="JR176" s="126"/>
      <c r="JW176" s="124"/>
      <c r="JZ176" s="126"/>
      <c r="KD176" s="141"/>
      <c r="KE176" s="124"/>
      <c r="KH176" s="126"/>
    </row>
    <row r="177" spans="2:294" ht="18.600000000000001">
      <c r="B177" s="127"/>
      <c r="C177" s="244" t="s">
        <v>205</v>
      </c>
      <c r="D177" s="129" t="s">
        <v>192</v>
      </c>
      <c r="E177" s="130"/>
      <c r="F177" s="131"/>
      <c r="G177" s="131"/>
      <c r="H177" s="131"/>
      <c r="I177" s="132"/>
      <c r="J177" s="133"/>
      <c r="K177" s="131"/>
      <c r="L177" s="131"/>
      <c r="M177" s="132"/>
      <c r="N177" s="134"/>
      <c r="O177" s="131"/>
      <c r="P177" s="131"/>
      <c r="Q177" s="132"/>
      <c r="R177" s="134"/>
      <c r="S177" s="131"/>
      <c r="T177" s="131"/>
      <c r="U177" s="132"/>
      <c r="V177" s="130"/>
      <c r="W177" s="131"/>
      <c r="X177" s="131"/>
      <c r="Y177" s="131"/>
      <c r="Z177" s="132"/>
      <c r="AA177" s="134"/>
      <c r="AB177" s="131"/>
      <c r="AC177" s="131"/>
      <c r="AD177" s="132"/>
      <c r="AE177" s="134"/>
      <c r="AF177" s="131"/>
      <c r="AG177" s="131"/>
      <c r="AH177" s="132"/>
      <c r="AI177" s="134"/>
      <c r="AJ177" s="131"/>
      <c r="AK177" s="135"/>
      <c r="AL177" s="131"/>
      <c r="AM177" s="132"/>
      <c r="AN177" s="134"/>
      <c r="AO177" s="131"/>
      <c r="AP177" s="131"/>
      <c r="AQ177" s="132"/>
      <c r="AR177" s="134"/>
      <c r="AS177" s="131"/>
      <c r="AT177" s="131"/>
      <c r="AU177" s="131"/>
      <c r="AV177" s="132"/>
      <c r="AW177" s="134"/>
      <c r="AX177" s="131"/>
      <c r="AY177" s="131"/>
      <c r="AZ177" s="132"/>
      <c r="BA177" s="134"/>
      <c r="BB177" s="131"/>
      <c r="BC177" s="131"/>
      <c r="BD177" s="132"/>
      <c r="BE177" s="134"/>
      <c r="BF177" s="136"/>
      <c r="BG177" s="136"/>
      <c r="BH177" s="131"/>
      <c r="BI177" s="132"/>
      <c r="BJ177" s="133"/>
      <c r="BK177" s="135"/>
      <c r="BL177" s="131"/>
      <c r="BM177" s="136"/>
      <c r="BN177" s="134"/>
      <c r="BO177" s="131"/>
      <c r="BP177" s="131"/>
      <c r="BQ177" s="132"/>
      <c r="BR177" s="133"/>
      <c r="BS177" s="131"/>
      <c r="BT177" s="131"/>
      <c r="BU177" s="131"/>
      <c r="BV177" s="136"/>
      <c r="BW177" s="134"/>
      <c r="BX177" s="131"/>
      <c r="BY177" s="131"/>
      <c r="BZ177" s="132"/>
      <c r="CA177" s="133"/>
      <c r="CB177" s="131"/>
      <c r="CC177" s="131"/>
      <c r="CD177" s="132"/>
      <c r="CE177" s="137"/>
      <c r="CF177" s="133"/>
      <c r="CG177" s="138"/>
      <c r="CH177" s="138"/>
      <c r="CI177" s="139"/>
      <c r="CJ177" s="134"/>
      <c r="CK177" s="138"/>
      <c r="CL177" s="138"/>
      <c r="CM177" s="140"/>
      <c r="CR177" s="124"/>
      <c r="CV177" s="125"/>
      <c r="CW177" s="124"/>
      <c r="CZ177" s="126"/>
      <c r="DA177" s="124"/>
      <c r="DE177" s="124"/>
      <c r="DJ177" s="124"/>
      <c r="DK177" s="125"/>
      <c r="DM177" s="126"/>
      <c r="DN177" s="124"/>
      <c r="DS177" s="124"/>
      <c r="EA177" s="124"/>
      <c r="EE177" s="125"/>
      <c r="EF177" s="124"/>
      <c r="EJ177" s="124"/>
      <c r="EN177" s="124"/>
      <c r="ER177" s="126"/>
      <c r="EV177" s="125"/>
      <c r="EW177" s="124"/>
      <c r="EZ177" s="126"/>
      <c r="FF177" s="124"/>
      <c r="FI177" s="126"/>
      <c r="FK177" s="125"/>
      <c r="FN177" s="124"/>
      <c r="FR177" s="126"/>
      <c r="FW177" s="124"/>
      <c r="FZ177" s="126"/>
      <c r="GA177" s="124"/>
      <c r="GE177" s="141"/>
      <c r="GJ177" s="124"/>
      <c r="GM177" s="126"/>
      <c r="GS177" s="124"/>
      <c r="GV177" s="126"/>
      <c r="HA177" s="124"/>
      <c r="HE177" s="126"/>
      <c r="HJ177" s="124"/>
      <c r="HM177" s="126"/>
      <c r="HS177" s="124"/>
      <c r="HV177" s="126"/>
      <c r="IA177" s="124"/>
      <c r="IE177" s="125"/>
      <c r="IF177" s="124"/>
      <c r="II177" s="126"/>
      <c r="IN177" s="124"/>
      <c r="IR177" s="126"/>
      <c r="IW177" s="124"/>
      <c r="IZ177" s="126"/>
      <c r="JF177" s="124"/>
      <c r="JI177" s="126"/>
      <c r="JN177" s="124"/>
      <c r="JR177" s="126"/>
      <c r="JW177" s="124"/>
      <c r="JZ177" s="126"/>
      <c r="KD177" s="141"/>
      <c r="KE177" s="124"/>
      <c r="KH177" s="126"/>
    </row>
    <row r="178" spans="2:294" ht="18.600000000000001">
      <c r="B178" s="127"/>
      <c r="C178" s="244" t="s">
        <v>404</v>
      </c>
      <c r="D178" s="129"/>
      <c r="E178" s="130"/>
      <c r="F178" s="131"/>
      <c r="G178" s="131"/>
      <c r="H178" s="131"/>
      <c r="I178" s="132"/>
      <c r="J178" s="133"/>
      <c r="K178" s="131"/>
      <c r="L178" s="131"/>
      <c r="M178" s="132"/>
      <c r="N178" s="134"/>
      <c r="O178" s="131"/>
      <c r="P178" s="131"/>
      <c r="Q178" s="132"/>
      <c r="R178" s="134"/>
      <c r="S178" s="131"/>
      <c r="T178" s="131"/>
      <c r="U178" s="132"/>
      <c r="V178" s="130"/>
      <c r="W178" s="131"/>
      <c r="X178" s="131"/>
      <c r="Y178" s="131"/>
      <c r="Z178" s="132"/>
      <c r="AA178" s="134"/>
      <c r="AB178" s="131"/>
      <c r="AC178" s="131"/>
      <c r="AD178" s="132"/>
      <c r="AE178" s="134"/>
      <c r="AF178" s="131"/>
      <c r="AG178" s="131"/>
      <c r="AH178" s="132"/>
      <c r="AI178" s="134"/>
      <c r="AJ178" s="131"/>
      <c r="AK178" s="135"/>
      <c r="AL178" s="131"/>
      <c r="AM178" s="132"/>
      <c r="AN178" s="134"/>
      <c r="AO178" s="131"/>
      <c r="AP178" s="131"/>
      <c r="AQ178" s="132"/>
      <c r="AR178" s="134"/>
      <c r="AS178" s="131"/>
      <c r="AT178" s="131"/>
      <c r="AU178" s="131"/>
      <c r="AV178" s="132"/>
      <c r="AW178" s="134"/>
      <c r="AX178" s="131"/>
      <c r="AY178" s="131"/>
      <c r="AZ178" s="132"/>
      <c r="BA178" s="134"/>
      <c r="BB178" s="131"/>
      <c r="BC178" s="131"/>
      <c r="BD178" s="132"/>
      <c r="BE178" s="134"/>
      <c r="BF178" s="136"/>
      <c r="BG178" s="136"/>
      <c r="BH178" s="131"/>
      <c r="BI178" s="132"/>
      <c r="BJ178" s="133"/>
      <c r="BK178" s="135"/>
      <c r="BL178" s="131"/>
      <c r="BM178" s="136"/>
      <c r="BN178" s="134"/>
      <c r="BO178" s="131"/>
      <c r="BP178" s="131"/>
      <c r="BQ178" s="132"/>
      <c r="BR178" s="133"/>
      <c r="BS178" s="131"/>
      <c r="BT178" s="131"/>
      <c r="BU178" s="131"/>
      <c r="BV178" s="136"/>
      <c r="BW178" s="134"/>
      <c r="BX178" s="131"/>
      <c r="BY178" s="131"/>
      <c r="BZ178" s="132"/>
      <c r="CA178" s="133"/>
      <c r="CB178" s="131"/>
      <c r="CC178" s="131"/>
      <c r="CD178" s="132"/>
      <c r="CE178" s="137"/>
      <c r="CF178" s="133"/>
      <c r="CG178" s="138"/>
      <c r="CH178" s="138"/>
      <c r="CI178" s="139"/>
      <c r="CJ178" s="134"/>
      <c r="CK178" s="138"/>
      <c r="CL178" s="138"/>
      <c r="CM178" s="140"/>
      <c r="CR178" s="124"/>
      <c r="CV178" s="125"/>
      <c r="CW178" s="124"/>
      <c r="CZ178" s="126"/>
      <c r="DA178" s="124"/>
      <c r="DE178" s="124"/>
      <c r="DJ178" s="124"/>
      <c r="DK178" s="125"/>
      <c r="DM178" s="126"/>
      <c r="DN178" s="124"/>
      <c r="DS178" s="124"/>
      <c r="EA178" s="124"/>
      <c r="EE178" s="125"/>
      <c r="EF178" s="124"/>
      <c r="EJ178" s="124"/>
      <c r="EN178" s="124"/>
      <c r="ER178" s="126"/>
      <c r="EV178" s="125"/>
      <c r="EW178" s="124"/>
      <c r="EZ178" s="126"/>
      <c r="FF178" s="124"/>
      <c r="FI178" s="126"/>
      <c r="FK178" s="125"/>
      <c r="FN178" s="124"/>
      <c r="FR178" s="126"/>
      <c r="FW178" s="124"/>
      <c r="FZ178" s="126"/>
      <c r="GA178" s="124"/>
      <c r="GE178" s="141"/>
      <c r="GJ178" s="124"/>
      <c r="GM178" s="126"/>
      <c r="GS178" s="124"/>
      <c r="GV178" s="126"/>
      <c r="HA178" s="124"/>
      <c r="HE178" s="126"/>
      <c r="HJ178" s="124"/>
      <c r="HM178" s="126"/>
      <c r="HS178" s="124"/>
      <c r="HV178" s="126"/>
      <c r="IA178" s="124"/>
      <c r="IE178" s="125"/>
      <c r="IF178" s="124"/>
      <c r="II178" s="126"/>
      <c r="IN178" s="124"/>
      <c r="IR178" s="126"/>
      <c r="IW178" s="124"/>
      <c r="IZ178" s="126"/>
      <c r="JF178" s="124"/>
      <c r="JI178" s="126"/>
      <c r="JN178" s="124"/>
      <c r="JR178" s="126"/>
      <c r="JW178" s="124"/>
      <c r="JZ178" s="126"/>
      <c r="KD178" s="141"/>
      <c r="KE178" s="124"/>
      <c r="KH178" s="126"/>
    </row>
    <row r="179" spans="2:294" ht="19.2" thickBot="1">
      <c r="B179" s="253"/>
      <c r="C179" s="252"/>
      <c r="D179" s="158"/>
      <c r="E179" s="159"/>
      <c r="F179" s="160"/>
      <c r="G179" s="160"/>
      <c r="H179" s="160"/>
      <c r="I179" s="161"/>
      <c r="J179" s="162"/>
      <c r="K179" s="160"/>
      <c r="L179" s="160"/>
      <c r="M179" s="161"/>
      <c r="N179" s="163"/>
      <c r="O179" s="160"/>
      <c r="P179" s="160"/>
      <c r="Q179" s="161"/>
      <c r="R179" s="163"/>
      <c r="S179" s="160"/>
      <c r="T179" s="160"/>
      <c r="U179" s="161"/>
      <c r="V179" s="159"/>
      <c r="W179" s="160"/>
      <c r="X179" s="160"/>
      <c r="Y179" s="160"/>
      <c r="Z179" s="161"/>
      <c r="AA179" s="163"/>
      <c r="AB179" s="160"/>
      <c r="AC179" s="160"/>
      <c r="AD179" s="161"/>
      <c r="AE179" s="163"/>
      <c r="AF179" s="160"/>
      <c r="AG179" s="160"/>
      <c r="AH179" s="161"/>
      <c r="AI179" s="163"/>
      <c r="AJ179" s="160"/>
      <c r="AK179" s="164"/>
      <c r="AL179" s="160"/>
      <c r="AM179" s="161"/>
      <c r="AN179" s="163"/>
      <c r="AO179" s="160"/>
      <c r="AP179" s="160"/>
      <c r="AQ179" s="161"/>
      <c r="AR179" s="163"/>
      <c r="AS179" s="160"/>
      <c r="AT179" s="160"/>
      <c r="AU179" s="160"/>
      <c r="AV179" s="161"/>
      <c r="AW179" s="163"/>
      <c r="AX179" s="160"/>
      <c r="AY179" s="160"/>
      <c r="AZ179" s="161"/>
      <c r="BA179" s="163"/>
      <c r="BB179" s="160"/>
      <c r="BC179" s="160"/>
      <c r="BD179" s="161"/>
      <c r="BE179" s="163"/>
      <c r="BF179" s="165"/>
      <c r="BG179" s="165"/>
      <c r="BH179" s="160"/>
      <c r="BI179" s="161"/>
      <c r="BJ179" s="162"/>
      <c r="BK179" s="164"/>
      <c r="BL179" s="160"/>
      <c r="BM179" s="165"/>
      <c r="BN179" s="163"/>
      <c r="BO179" s="160"/>
      <c r="BP179" s="160"/>
      <c r="BQ179" s="161"/>
      <c r="BR179" s="162"/>
      <c r="BS179" s="160"/>
      <c r="BT179" s="160"/>
      <c r="BU179" s="160"/>
      <c r="BV179" s="165"/>
      <c r="BW179" s="163"/>
      <c r="BX179" s="160"/>
      <c r="BY179" s="160"/>
      <c r="BZ179" s="161"/>
      <c r="CA179" s="162"/>
      <c r="CB179" s="160"/>
      <c r="CC179" s="160"/>
      <c r="CD179" s="161"/>
      <c r="CE179" s="166"/>
      <c r="CF179" s="162"/>
      <c r="CG179" s="167"/>
      <c r="CH179" s="167"/>
      <c r="CI179" s="168"/>
      <c r="CJ179" s="163"/>
      <c r="CK179" s="167"/>
      <c r="CL179" s="167"/>
      <c r="CM179" s="169"/>
      <c r="CN179" s="145"/>
      <c r="CO179" s="145"/>
      <c r="CP179" s="145"/>
      <c r="CQ179" s="145"/>
      <c r="CR179" s="146"/>
      <c r="CS179" s="145"/>
      <c r="CT179" s="145"/>
      <c r="CU179" s="145"/>
      <c r="CV179" s="147"/>
      <c r="CW179" s="146"/>
      <c r="CX179" s="145"/>
      <c r="CY179" s="145"/>
      <c r="CZ179" s="148"/>
      <c r="DA179" s="146"/>
      <c r="DB179" s="145"/>
      <c r="DC179" s="145"/>
      <c r="DD179" s="145"/>
      <c r="DE179" s="146"/>
      <c r="DF179" s="145"/>
      <c r="DG179" s="145"/>
      <c r="DH179" s="145"/>
      <c r="DI179" s="145"/>
      <c r="DJ179" s="146"/>
      <c r="DK179" s="147"/>
      <c r="DL179" s="145"/>
      <c r="DM179" s="148"/>
      <c r="DN179" s="146"/>
      <c r="DO179" s="145"/>
      <c r="DP179" s="145"/>
      <c r="DQ179" s="145"/>
      <c r="DR179" s="145"/>
      <c r="DS179" s="146"/>
      <c r="DT179" s="145"/>
      <c r="DU179" s="145"/>
      <c r="DV179" s="145"/>
      <c r="DW179" s="145"/>
      <c r="DX179" s="145"/>
      <c r="DY179" s="145"/>
      <c r="DZ179" s="145"/>
      <c r="EA179" s="146"/>
      <c r="EB179" s="145"/>
      <c r="EC179" s="145"/>
      <c r="ED179" s="145"/>
      <c r="EE179" s="147"/>
      <c r="EF179" s="146"/>
      <c r="EG179" s="145"/>
      <c r="EH179" s="145"/>
      <c r="EI179" s="145"/>
      <c r="EJ179" s="146"/>
      <c r="EK179" s="145"/>
      <c r="EL179" s="145"/>
      <c r="EM179" s="145"/>
      <c r="EN179" s="146"/>
      <c r="EO179" s="145"/>
      <c r="EP179" s="145"/>
      <c r="EQ179" s="145"/>
      <c r="ER179" s="148"/>
      <c r="ES179" s="145"/>
      <c r="ET179" s="145"/>
      <c r="EU179" s="145"/>
      <c r="EV179" s="147"/>
      <c r="EW179" s="146"/>
      <c r="EX179" s="145"/>
      <c r="EY179" s="145"/>
      <c r="EZ179" s="148"/>
      <c r="FA179" s="145"/>
      <c r="FB179" s="145"/>
      <c r="FC179" s="145"/>
      <c r="FD179" s="145"/>
      <c r="FE179" s="145"/>
      <c r="FF179" s="146"/>
      <c r="FG179" s="145"/>
      <c r="FH179" s="145"/>
      <c r="FI179" s="148"/>
      <c r="FJ179" s="145"/>
      <c r="FK179" s="147"/>
      <c r="FL179" s="145"/>
      <c r="FM179" s="145"/>
      <c r="FN179" s="146"/>
      <c r="FO179" s="145"/>
      <c r="FP179" s="145"/>
      <c r="FQ179" s="145"/>
      <c r="FR179" s="148"/>
      <c r="FS179" s="145"/>
      <c r="FT179" s="145"/>
      <c r="FU179" s="145"/>
      <c r="FV179" s="145"/>
      <c r="FW179" s="146"/>
      <c r="FX179" s="145"/>
      <c r="FY179" s="145"/>
      <c r="FZ179" s="148"/>
      <c r="GA179" s="146"/>
      <c r="GB179" s="145"/>
      <c r="GC179" s="145"/>
      <c r="GD179" s="145"/>
      <c r="GE179" s="149"/>
      <c r="GF179" s="145"/>
      <c r="GG179" s="145"/>
      <c r="GH179" s="145"/>
      <c r="GI179" s="145"/>
      <c r="GJ179" s="146"/>
      <c r="GK179" s="145"/>
      <c r="GL179" s="145"/>
      <c r="GM179" s="148"/>
      <c r="GN179" s="145"/>
      <c r="GO179" s="145"/>
      <c r="GP179" s="145"/>
      <c r="GQ179" s="145"/>
      <c r="GR179" s="145"/>
      <c r="GS179" s="146"/>
      <c r="GT179" s="145"/>
      <c r="GU179" s="145"/>
      <c r="GV179" s="148"/>
      <c r="GW179" s="145"/>
      <c r="GX179" s="145"/>
      <c r="GY179" s="145"/>
      <c r="GZ179" s="145"/>
      <c r="HA179" s="146"/>
      <c r="HB179" s="145"/>
      <c r="HC179" s="145"/>
      <c r="HD179" s="145"/>
      <c r="HE179" s="148"/>
      <c r="HF179" s="145"/>
      <c r="HG179" s="145"/>
      <c r="HH179" s="145"/>
      <c r="HI179" s="145"/>
      <c r="HJ179" s="146"/>
      <c r="HK179" s="145"/>
      <c r="HL179" s="145"/>
      <c r="HM179" s="148"/>
      <c r="HN179" s="145"/>
      <c r="HO179" s="145"/>
      <c r="HP179" s="145"/>
      <c r="HQ179" s="145"/>
      <c r="HR179" s="145"/>
      <c r="HS179" s="146"/>
      <c r="HT179" s="145"/>
      <c r="HU179" s="145"/>
      <c r="HV179" s="148"/>
      <c r="HW179" s="145"/>
      <c r="HX179" s="145"/>
      <c r="HY179" s="145"/>
      <c r="HZ179" s="145"/>
      <c r="IA179" s="146"/>
      <c r="IB179" s="145"/>
      <c r="IC179" s="145"/>
      <c r="ID179" s="145"/>
      <c r="IE179" s="147"/>
      <c r="IF179" s="146"/>
      <c r="IG179" s="145"/>
      <c r="IH179" s="145"/>
      <c r="II179" s="148"/>
      <c r="IJ179" s="145"/>
      <c r="IK179" s="145"/>
      <c r="IL179" s="145"/>
      <c r="IM179" s="145"/>
      <c r="IN179" s="146"/>
      <c r="IO179" s="145"/>
      <c r="IP179" s="145"/>
      <c r="IQ179" s="145"/>
      <c r="IR179" s="148"/>
      <c r="IS179" s="145"/>
      <c r="IT179" s="145"/>
      <c r="IU179" s="145"/>
      <c r="IV179" s="145"/>
      <c r="IW179" s="146"/>
      <c r="IX179" s="145"/>
      <c r="IY179" s="145"/>
      <c r="IZ179" s="148"/>
      <c r="JA179" s="145"/>
      <c r="JB179" s="145"/>
      <c r="JC179" s="145"/>
      <c r="JD179" s="145"/>
      <c r="JE179" s="145"/>
      <c r="JF179" s="146"/>
      <c r="JG179" s="145"/>
      <c r="JH179" s="145"/>
      <c r="JI179" s="148"/>
      <c r="JJ179" s="145"/>
      <c r="JK179" s="145"/>
      <c r="JL179" s="145"/>
      <c r="JM179" s="145"/>
      <c r="JN179" s="146"/>
      <c r="JO179" s="145"/>
      <c r="JP179" s="145"/>
      <c r="JQ179" s="145"/>
      <c r="JR179" s="148"/>
      <c r="JS179" s="145"/>
      <c r="JT179" s="145"/>
      <c r="JU179" s="145"/>
      <c r="JV179" s="145"/>
      <c r="JW179" s="146"/>
      <c r="JX179" s="145"/>
      <c r="JY179" s="145"/>
      <c r="JZ179" s="148"/>
      <c r="KA179" s="145"/>
      <c r="KB179" s="145"/>
      <c r="KC179" s="145"/>
      <c r="KD179" s="149"/>
      <c r="KE179" s="146"/>
      <c r="KF179" s="145"/>
      <c r="KG179" s="145"/>
      <c r="KH179" s="148"/>
    </row>
    <row r="180" spans="2:294" ht="18.600000000000001" thickTop="1"/>
  </sheetData>
  <phoneticPr fontId="59"/>
  <conditionalFormatting sqref="CK6:DI10 DJ8:DJ10 CK62:DW62 DY62:EI62 CK63:EC63 EE63:EI63 CK64:EI66 CK67:DW67 DY67:EI67 CK68:EC68 EE68:EI68 CK69:EI71 CK72:DW72 DY72:EI72 CK73:EC73 EE73:EI73 CK102:DW102 DY102:EI102 CK103:EC103 EE103:EI103">
    <cfRule type="expression" dxfId="5" priority="6">
      <formula>MONTH(#REF!)&lt;&gt;MONTH(#REF!)</formula>
    </cfRule>
  </conditionalFormatting>
  <conditionalFormatting sqref="CK112:DW112 DY112:EI112 CK113:EC113 EE113:EI113 CK114:EI116 CK117:DW117 DY117:EI117 CK118:EC118 EE118:EI118 CK119:EI121 CK122:DW122 DY122:EI122 CK123:EC123 EE123:EI123">
    <cfRule type="expression" dxfId="4" priority="1">
      <formula>MONTH(#REF!)&lt;&gt;MONTH(#REF!)</formula>
    </cfRule>
  </conditionalFormatting>
  <conditionalFormatting sqref="CK7:EI7">
    <cfRule type="expression" dxfId="3" priority="4">
      <formula>MONTH(#REF!)&lt;&gt;MONTH(#REF!)</formula>
    </cfRule>
  </conditionalFormatting>
  <conditionalFormatting sqref="CK74:EI76 CK77:DW77 DY77:EI77 CK78:EC78 EE78:EI78 CK79:EI81 CK82:DW82 DY82:EI82 CK83:EC83 EE83:EI83 CK84:EI86 CK87:DW87 DY87:EI87 CK88:EC88 EE88:EI88 CK89:EI91 CK92:DW92 DY92:EI92 CK93:EC93 EE93:EI93 CK94:EI96 CK97:DW97 DY97:EI97 CK98:EC98 EE98:EI98">
    <cfRule type="expression" dxfId="2" priority="2">
      <formula>MONTH(#REF!)&lt;&gt;MONTH(#REF!)</formula>
    </cfRule>
  </conditionalFormatting>
  <conditionalFormatting sqref="DE6">
    <cfRule type="expression" dxfId="1" priority="5">
      <formula>MONTH(#REF!)&lt;&gt;MONTH(#REF!)</formula>
    </cfRule>
  </conditionalFormatting>
  <conditionalFormatting sqref="DJ6 DK6:EI60 CH6:CH179 CK11:DJ60 CK61:EI61 CK99:EI101 CK104:EI111 CK124:EI179">
    <cfRule type="expression" dxfId="0" priority="3">
      <formula>MONTH(#REF!)&lt;&gt;MONTH(#REF!)</formula>
    </cfRule>
  </conditionalFormatting>
  <pageMargins left="0.15748031496062992" right="0.15748031496062992" top="0.74803149606299213" bottom="0.74803149606299213" header="0.31496062992125984" footer="0.31496062992125984"/>
  <pageSetup paperSize="8" scale="28" orientation="portrait" r:id="rId1"/>
  <headerFooter>
    <oddFooter>&amp;C&amp;18&amp;F , 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25-45W</vt:lpstr>
      <vt:lpstr>ピッキングマスタ作成台帳</vt:lpstr>
      <vt:lpstr>設変</vt:lpstr>
      <vt:lpstr>25-45ｰD</vt:lpstr>
      <vt:lpstr>25-44-D</vt:lpstr>
      <vt:lpstr>25-43-D</vt:lpstr>
      <vt:lpstr>25-42-D</vt:lpstr>
      <vt:lpstr>Monthly 日程1006</vt:lpstr>
      <vt:lpstr>'Monthly 日程1006'!Print_Area</vt:lpstr>
    </vt:vector>
  </TitlesOfParts>
  <Company>プレス工業株式会社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k017</dc:creator>
  <cp:lastModifiedBy>伊藤 誠一</cp:lastModifiedBy>
  <cp:lastPrinted>2024-03-19T00:41:36Z</cp:lastPrinted>
  <dcterms:created xsi:type="dcterms:W3CDTF">2023-08-01T05:28:50Z</dcterms:created>
  <dcterms:modified xsi:type="dcterms:W3CDTF">2025-10-23T23:37:27Z</dcterms:modified>
</cp:coreProperties>
</file>